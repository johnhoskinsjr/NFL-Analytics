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\Desktop\"/>
    </mc:Choice>
  </mc:AlternateContent>
  <bookViews>
    <workbookView xWindow="0" yWindow="0" windowWidth="28800" windowHeight="12210"/>
  </bookViews>
  <sheets>
    <sheet name="Boxscores" sheetId="1" r:id="rId1"/>
    <sheet name="Divisions" sheetId="11" r:id="rId2"/>
    <sheet name="Team Stats" sheetId="10" r:id="rId3"/>
    <sheet name="Rankings" sheetId="2" r:id="rId4"/>
    <sheet name="Lines" sheetId="6" r:id="rId5"/>
    <sheet name="Bets" sheetId="9" r:id="rId6"/>
  </sheets>
  <functionGroups builtInGroupCount="18"/>
  <definedNames>
    <definedName name="_2016" localSheetId="4">Lines!#REF!</definedName>
    <definedName name="avg_lookup">Table5[#All]</definedName>
    <definedName name="def_diff_lookup">Table5[[Team]:[Def Diff]]</definedName>
    <definedName name="division_lookup">Table6[]</definedName>
    <definedName name="home">Rankings!$E$2</definedName>
    <definedName name="home_lookup">Table1[[Team]:[Home Edge]]</definedName>
    <definedName name="lookup">Rankings!$A$2:$B$33</definedName>
    <definedName name="lookup_max">Table1[#All]</definedName>
    <definedName name="off_pts_lookup">Table5[[Team]:[Off Pts/g]]</definedName>
    <definedName name="pace_lookup">Table5[[Team]:[Plys/G (O)]]</definedName>
    <definedName name="solver_adj" localSheetId="3" hidden="1">Rankings!$C$2:$C$33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Rankings!$C$34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Rankings!$I$2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hs1" localSheetId="3" hidden="1">home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1</definedName>
    <definedName name="solver_ver" localSheetId="3" hidden="1">3</definedName>
    <definedName name="stats_lookup">Table5[]</definedName>
  </definedNames>
  <calcPr calcId="171027"/>
</workbook>
</file>

<file path=xl/calcChain.xml><?xml version="1.0" encoding="utf-8"?>
<calcChain xmlns="http://schemas.openxmlformats.org/spreadsheetml/2006/main">
  <c r="F164" i="1" l="1"/>
  <c r="F165" i="1"/>
  <c r="F166" i="1"/>
  <c r="N166" i="1" s="1"/>
  <c r="F167" i="1"/>
  <c r="F168" i="1"/>
  <c r="F169" i="1"/>
  <c r="F170" i="1"/>
  <c r="N170" i="1" s="1"/>
  <c r="F171" i="1"/>
  <c r="F172" i="1"/>
  <c r="F173" i="1"/>
  <c r="F174" i="1"/>
  <c r="N174" i="1" s="1"/>
  <c r="F175" i="1"/>
  <c r="F176" i="1"/>
  <c r="F177" i="1"/>
  <c r="F178" i="1"/>
  <c r="N178" i="1" s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H164" i="1"/>
  <c r="AA164" i="1" s="1"/>
  <c r="H165" i="1"/>
  <c r="H166" i="1"/>
  <c r="H167" i="1"/>
  <c r="H168" i="1"/>
  <c r="AA168" i="1" s="1"/>
  <c r="H169" i="1"/>
  <c r="H170" i="1"/>
  <c r="H171" i="1"/>
  <c r="H172" i="1"/>
  <c r="AA172" i="1" s="1"/>
  <c r="H173" i="1"/>
  <c r="H174" i="1"/>
  <c r="H175" i="1"/>
  <c r="H176" i="1"/>
  <c r="AA176" i="1" s="1"/>
  <c r="H177" i="1"/>
  <c r="H178" i="1"/>
  <c r="I164" i="1"/>
  <c r="I165" i="1"/>
  <c r="AA165" i="1" s="1"/>
  <c r="I166" i="1"/>
  <c r="I167" i="1"/>
  <c r="I168" i="1"/>
  <c r="I169" i="1"/>
  <c r="AA169" i="1" s="1"/>
  <c r="I170" i="1"/>
  <c r="I171" i="1"/>
  <c r="I172" i="1"/>
  <c r="I173" i="1"/>
  <c r="AA173" i="1" s="1"/>
  <c r="I174" i="1"/>
  <c r="I175" i="1"/>
  <c r="I176" i="1"/>
  <c r="I177" i="1"/>
  <c r="AA177" i="1" s="1"/>
  <c r="I178" i="1"/>
  <c r="L164" i="1"/>
  <c r="L168" i="1"/>
  <c r="L172" i="1"/>
  <c r="L176" i="1"/>
  <c r="N164" i="1"/>
  <c r="N165" i="1"/>
  <c r="L165" i="1" s="1"/>
  <c r="N167" i="1"/>
  <c r="L167" i="1" s="1"/>
  <c r="N168" i="1"/>
  <c r="N169" i="1"/>
  <c r="L169" i="1" s="1"/>
  <c r="N171" i="1"/>
  <c r="L171" i="1" s="1"/>
  <c r="N172" i="1"/>
  <c r="N173" i="1"/>
  <c r="L173" i="1" s="1"/>
  <c r="N175" i="1"/>
  <c r="L175" i="1" s="1"/>
  <c r="N176" i="1"/>
  <c r="N177" i="1"/>
  <c r="L177" i="1" s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V164" i="1"/>
  <c r="V165" i="1"/>
  <c r="Y165" i="1" s="1"/>
  <c r="Z165" i="1" s="1"/>
  <c r="V166" i="1"/>
  <c r="V167" i="1"/>
  <c r="Y167" i="1" s="1"/>
  <c r="Z167" i="1" s="1"/>
  <c r="V168" i="1"/>
  <c r="V169" i="1"/>
  <c r="Y169" i="1" s="1"/>
  <c r="Z169" i="1" s="1"/>
  <c r="V170" i="1"/>
  <c r="V171" i="1"/>
  <c r="Y171" i="1" s="1"/>
  <c r="Z171" i="1" s="1"/>
  <c r="V172" i="1"/>
  <c r="V173" i="1"/>
  <c r="Y173" i="1" s="1"/>
  <c r="Z173" i="1" s="1"/>
  <c r="V174" i="1"/>
  <c r="V175" i="1"/>
  <c r="Y175" i="1" s="1"/>
  <c r="Z175" i="1" s="1"/>
  <c r="V176" i="1"/>
  <c r="V177" i="1"/>
  <c r="Y177" i="1" s="1"/>
  <c r="Z177" i="1" s="1"/>
  <c r="V178" i="1"/>
  <c r="Y164" i="1"/>
  <c r="Z164" i="1" s="1"/>
  <c r="Y166" i="1"/>
  <c r="Z166" i="1" s="1"/>
  <c r="Y168" i="1"/>
  <c r="Z168" i="1" s="1"/>
  <c r="Y170" i="1"/>
  <c r="Z170" i="1" s="1"/>
  <c r="Y172" i="1"/>
  <c r="Z172" i="1" s="1"/>
  <c r="Y174" i="1"/>
  <c r="Z174" i="1" s="1"/>
  <c r="Y176" i="1"/>
  <c r="Z176" i="1" s="1"/>
  <c r="Y178" i="1"/>
  <c r="Z178" i="1" s="1"/>
  <c r="AA166" i="1"/>
  <c r="AA167" i="1"/>
  <c r="AA170" i="1"/>
  <c r="AA171" i="1"/>
  <c r="AA174" i="1"/>
  <c r="AA175" i="1"/>
  <c r="AA178" i="1"/>
  <c r="AC164" i="1"/>
  <c r="AC165" i="1"/>
  <c r="AC168" i="1"/>
  <c r="AC169" i="1"/>
  <c r="AC172" i="1"/>
  <c r="AC173" i="1"/>
  <c r="AC176" i="1"/>
  <c r="AC177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F163" i="1"/>
  <c r="G163" i="1"/>
  <c r="H163" i="1"/>
  <c r="I163" i="1"/>
  <c r="AA163" i="1" s="1"/>
  <c r="T163" i="1"/>
  <c r="V163" i="1"/>
  <c r="Y163" i="1" s="1"/>
  <c r="Z163" i="1" s="1"/>
  <c r="AE163" i="1"/>
  <c r="AC178" i="1" l="1"/>
  <c r="L178" i="1"/>
  <c r="L174" i="1"/>
  <c r="AC174" i="1"/>
  <c r="AC170" i="1"/>
  <c r="L170" i="1"/>
  <c r="AC166" i="1"/>
  <c r="L166" i="1"/>
  <c r="AC175" i="1"/>
  <c r="AC171" i="1"/>
  <c r="AC167" i="1"/>
  <c r="N163" i="1"/>
  <c r="L163" i="1" s="1"/>
  <c r="J158" i="1"/>
  <c r="J159" i="1"/>
  <c r="J160" i="1"/>
  <c r="J161" i="1"/>
  <c r="J162" i="1"/>
  <c r="O158" i="1"/>
  <c r="Q158" i="1" s="1"/>
  <c r="O159" i="1"/>
  <c r="O160" i="1"/>
  <c r="Q160" i="1" s="1"/>
  <c r="O161" i="1"/>
  <c r="Q161" i="1" s="1"/>
  <c r="O162" i="1"/>
  <c r="T162" i="1" s="1"/>
  <c r="Q159" i="1"/>
  <c r="Q151" i="1"/>
  <c r="Q155" i="1"/>
  <c r="T159" i="1"/>
  <c r="T160" i="1"/>
  <c r="T161" i="1"/>
  <c r="O151" i="1"/>
  <c r="T151" i="1" s="1"/>
  <c r="O152" i="1"/>
  <c r="Q152" i="1" s="1"/>
  <c r="O153" i="1"/>
  <c r="Q153" i="1" s="1"/>
  <c r="O154" i="1"/>
  <c r="T154" i="1" s="1"/>
  <c r="O155" i="1"/>
  <c r="T155" i="1" s="1"/>
  <c r="O156" i="1"/>
  <c r="Q156" i="1" s="1"/>
  <c r="O157" i="1"/>
  <c r="Q157" i="1" s="1"/>
  <c r="J151" i="1"/>
  <c r="J152" i="1"/>
  <c r="J153" i="1"/>
  <c r="J154" i="1"/>
  <c r="J155" i="1"/>
  <c r="J156" i="1"/>
  <c r="J157" i="1"/>
  <c r="O150" i="1"/>
  <c r="T150" i="1" s="1"/>
  <c r="J150" i="1"/>
  <c r="T157" i="1" l="1"/>
  <c r="T153" i="1"/>
  <c r="T156" i="1"/>
  <c r="T152" i="1"/>
  <c r="Q154" i="1"/>
  <c r="Q150" i="1"/>
  <c r="Q162" i="1"/>
  <c r="AC163" i="1"/>
  <c r="T158" i="1"/>
  <c r="K179" i="1"/>
  <c r="M179" i="1"/>
  <c r="O149" i="1" l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Q149" i="1" l="1"/>
  <c r="T149" i="1"/>
  <c r="T179" i="1" s="1"/>
  <c r="P179" i="1"/>
  <c r="J149" i="1" l="1"/>
  <c r="J147" i="1"/>
  <c r="J148" i="1"/>
  <c r="E179" i="1"/>
  <c r="D179" i="1"/>
  <c r="E2" i="2" l="1"/>
  <c r="F10" i="9"/>
  <c r="S163" i="1" l="1"/>
  <c r="S166" i="1"/>
  <c r="S170" i="1"/>
  <c r="S174" i="1"/>
  <c r="S178" i="1"/>
  <c r="S169" i="1"/>
  <c r="S177" i="1"/>
  <c r="S167" i="1"/>
  <c r="S171" i="1"/>
  <c r="S175" i="1"/>
  <c r="S164" i="1"/>
  <c r="S168" i="1"/>
  <c r="S172" i="1"/>
  <c r="S176" i="1"/>
  <c r="S165" i="1"/>
  <c r="S173" i="1"/>
  <c r="Q163" i="1"/>
  <c r="AD163" i="1"/>
  <c r="B34" i="2"/>
  <c r="C34" i="2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AD167" i="1" l="1"/>
  <c r="Q167" i="1"/>
  <c r="AD174" i="1"/>
  <c r="Q174" i="1"/>
  <c r="Q165" i="1"/>
  <c r="AD165" i="1"/>
  <c r="Q164" i="1"/>
  <c r="AD164" i="1"/>
  <c r="Q177" i="1"/>
  <c r="AD177" i="1"/>
  <c r="AD170" i="1"/>
  <c r="Q170" i="1"/>
  <c r="AD168" i="1"/>
  <c r="Q168" i="1"/>
  <c r="Q176" i="1"/>
  <c r="AD176" i="1"/>
  <c r="AD175" i="1"/>
  <c r="Q175" i="1"/>
  <c r="Q169" i="1"/>
  <c r="AD169" i="1"/>
  <c r="AD166" i="1"/>
  <c r="Q166" i="1"/>
  <c r="Q173" i="1"/>
  <c r="AD173" i="1"/>
  <c r="Q172" i="1"/>
  <c r="AD172" i="1"/>
  <c r="AD171" i="1"/>
  <c r="Q171" i="1"/>
  <c r="AD178" i="1"/>
  <c r="Q178" i="1"/>
  <c r="Y161" i="1"/>
  <c r="Z161" i="1" s="1"/>
  <c r="Y162" i="1"/>
  <c r="Z162" i="1" s="1"/>
  <c r="Y158" i="1"/>
  <c r="Z158" i="1" s="1"/>
  <c r="Y154" i="1"/>
  <c r="Z154" i="1" s="1"/>
  <c r="Y150" i="1"/>
  <c r="Z150" i="1" s="1"/>
  <c r="Y157" i="1"/>
  <c r="Z157" i="1" s="1"/>
  <c r="Y153" i="1"/>
  <c r="Z153" i="1" s="1"/>
  <c r="Y149" i="1"/>
  <c r="Z149" i="1" s="1"/>
  <c r="Y160" i="1"/>
  <c r="Z160" i="1" s="1"/>
  <c r="Y152" i="1"/>
  <c r="Z152" i="1" s="1"/>
  <c r="Y156" i="1"/>
  <c r="Z156" i="1" s="1"/>
  <c r="Y159" i="1"/>
  <c r="Z159" i="1" s="1"/>
  <c r="Y155" i="1"/>
  <c r="Z155" i="1" s="1"/>
  <c r="Y151" i="1"/>
  <c r="Z151" i="1" s="1"/>
  <c r="V179" i="1"/>
  <c r="O12" i="9"/>
  <c r="R12" i="9"/>
  <c r="F6" i="9"/>
  <c r="F11" i="9"/>
  <c r="F9" i="9"/>
  <c r="S149" i="1"/>
  <c r="S150" i="1"/>
  <c r="S151" i="1"/>
  <c r="S152" i="1"/>
  <c r="S153" i="1"/>
  <c r="S154" i="1"/>
  <c r="S155" i="1"/>
  <c r="S156" i="1"/>
  <c r="S157" i="1"/>
  <c r="S158" i="1"/>
  <c r="AD158" i="1" s="1"/>
  <c r="S159" i="1"/>
  <c r="AD159" i="1" s="1"/>
  <c r="S160" i="1"/>
  <c r="AD160" i="1" s="1"/>
  <c r="S161" i="1"/>
  <c r="AD161" i="1" s="1"/>
  <c r="S162" i="1"/>
  <c r="AD162" i="1" s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J136" i="1"/>
  <c r="J137" i="1"/>
  <c r="J138" i="1"/>
  <c r="J139" i="1"/>
  <c r="J140" i="1"/>
  <c r="J141" i="1"/>
  <c r="J142" i="1"/>
  <c r="J143" i="1"/>
  <c r="J144" i="1"/>
  <c r="J145" i="1"/>
  <c r="J146" i="1"/>
  <c r="Y147" i="1" l="1"/>
  <c r="Z147" i="1" s="1"/>
  <c r="Q147" i="1"/>
  <c r="Y143" i="1"/>
  <c r="Z143" i="1" s="1"/>
  <c r="Q143" i="1"/>
  <c r="Y139" i="1"/>
  <c r="Z139" i="1" s="1"/>
  <c r="Q139" i="1"/>
  <c r="Y146" i="1"/>
  <c r="Z146" i="1" s="1"/>
  <c r="Q146" i="1"/>
  <c r="Y142" i="1"/>
  <c r="Z142" i="1" s="1"/>
  <c r="Q142" i="1"/>
  <c r="Y138" i="1"/>
  <c r="Z138" i="1" s="1"/>
  <c r="Q138" i="1"/>
  <c r="Y145" i="1"/>
  <c r="Z145" i="1" s="1"/>
  <c r="Q145" i="1"/>
  <c r="Y141" i="1"/>
  <c r="Z141" i="1" s="1"/>
  <c r="Q141" i="1"/>
  <c r="Y137" i="1"/>
  <c r="Z137" i="1" s="1"/>
  <c r="Q137" i="1"/>
  <c r="Y148" i="1"/>
  <c r="Z148" i="1" s="1"/>
  <c r="Q148" i="1"/>
  <c r="Y144" i="1"/>
  <c r="Z144" i="1" s="1"/>
  <c r="Q144" i="1"/>
  <c r="Y140" i="1"/>
  <c r="Z140" i="1" s="1"/>
  <c r="Q140" i="1"/>
  <c r="Y136" i="1"/>
  <c r="Z136" i="1" s="1"/>
  <c r="Q136" i="1"/>
  <c r="AD152" i="1"/>
  <c r="AD155" i="1"/>
  <c r="AD154" i="1"/>
  <c r="AD150" i="1"/>
  <c r="AD156" i="1"/>
  <c r="AD151" i="1"/>
  <c r="AD157" i="1"/>
  <c r="AD153" i="1"/>
  <c r="AD149" i="1"/>
  <c r="F2" i="9"/>
  <c r="F3" i="9"/>
  <c r="F4" i="9"/>
  <c r="F5" i="9"/>
  <c r="F7" i="9"/>
  <c r="F8" i="9"/>
  <c r="L8" i="10"/>
  <c r="L15" i="10"/>
  <c r="L3" i="10"/>
  <c r="L21" i="10"/>
  <c r="L7" i="10"/>
  <c r="L2" i="10"/>
  <c r="L12" i="10"/>
  <c r="L23" i="10"/>
  <c r="L5" i="10"/>
  <c r="L6" i="10"/>
  <c r="L17" i="10"/>
  <c r="L22" i="10"/>
  <c r="L18" i="10"/>
  <c r="L26" i="10"/>
  <c r="L20" i="10"/>
  <c r="L10" i="10"/>
  <c r="L13" i="10"/>
  <c r="L14" i="10"/>
  <c r="L4" i="10"/>
  <c r="L32" i="10"/>
  <c r="L19" i="10"/>
  <c r="L24" i="10"/>
  <c r="L9" i="10"/>
  <c r="L25" i="10"/>
  <c r="L29" i="10"/>
  <c r="L11" i="10"/>
  <c r="L30" i="10"/>
  <c r="L16" i="10"/>
  <c r="L33" i="10"/>
  <c r="L31" i="10"/>
  <c r="L28" i="10"/>
  <c r="L27" i="10"/>
  <c r="K8" i="10"/>
  <c r="K15" i="10"/>
  <c r="M15" i="10" s="1"/>
  <c r="K3" i="10"/>
  <c r="M3" i="10" s="1"/>
  <c r="K21" i="10"/>
  <c r="M21" i="10" s="1"/>
  <c r="K7" i="10"/>
  <c r="M7" i="10" s="1"/>
  <c r="K2" i="10"/>
  <c r="M2" i="10" s="1"/>
  <c r="K12" i="10"/>
  <c r="M12" i="10" s="1"/>
  <c r="K23" i="10"/>
  <c r="M23" i="10" s="1"/>
  <c r="K5" i="10"/>
  <c r="K6" i="10"/>
  <c r="M6" i="10" s="1"/>
  <c r="K17" i="10"/>
  <c r="K22" i="10"/>
  <c r="M22" i="10" s="1"/>
  <c r="K18" i="10"/>
  <c r="M18" i="10" s="1"/>
  <c r="K26" i="10"/>
  <c r="M26" i="10" s="1"/>
  <c r="K20" i="10"/>
  <c r="M20" i="10" s="1"/>
  <c r="K10" i="10"/>
  <c r="M10" i="10" s="1"/>
  <c r="K13" i="10"/>
  <c r="M13" i="10" s="1"/>
  <c r="K14" i="10"/>
  <c r="M14" i="10" s="1"/>
  <c r="K4" i="10"/>
  <c r="M4" i="10" s="1"/>
  <c r="K32" i="10"/>
  <c r="M32" i="10" s="1"/>
  <c r="K19" i="10"/>
  <c r="M19" i="10" s="1"/>
  <c r="K24" i="10"/>
  <c r="M24" i="10" s="1"/>
  <c r="K9" i="10"/>
  <c r="M9" i="10" s="1"/>
  <c r="K25" i="10"/>
  <c r="M25" i="10" s="1"/>
  <c r="K29" i="10"/>
  <c r="M29" i="10" s="1"/>
  <c r="K11" i="10"/>
  <c r="M11" i="10" s="1"/>
  <c r="K30" i="10"/>
  <c r="M30" i="10" s="1"/>
  <c r="K16" i="10"/>
  <c r="M16" i="10" s="1"/>
  <c r="K33" i="10"/>
  <c r="M33" i="10" s="1"/>
  <c r="K31" i="10"/>
  <c r="M31" i="10" s="1"/>
  <c r="K28" i="10"/>
  <c r="M28" i="10" s="1"/>
  <c r="K27" i="10"/>
  <c r="M27" i="10" s="1"/>
  <c r="J34" i="10"/>
  <c r="I34" i="10"/>
  <c r="F8" i="10"/>
  <c r="F2" i="10"/>
  <c r="F3" i="10"/>
  <c r="F21" i="10"/>
  <c r="F25" i="10"/>
  <c r="F14" i="10"/>
  <c r="F12" i="10"/>
  <c r="F26" i="10"/>
  <c r="F7" i="10"/>
  <c r="F18" i="10"/>
  <c r="F22" i="10"/>
  <c r="F23" i="10"/>
  <c r="F9" i="10"/>
  <c r="F13" i="10"/>
  <c r="F15" i="10"/>
  <c r="F31" i="10"/>
  <c r="F17" i="10"/>
  <c r="F4" i="10"/>
  <c r="F20" i="10"/>
  <c r="F10" i="10"/>
  <c r="F29" i="10"/>
  <c r="F6" i="10"/>
  <c r="F33" i="10"/>
  <c r="F19" i="10"/>
  <c r="F24" i="10"/>
  <c r="F11" i="10"/>
  <c r="F27" i="10"/>
  <c r="F30" i="10"/>
  <c r="F5" i="10"/>
  <c r="F28" i="10"/>
  <c r="F32" i="10"/>
  <c r="F16" i="10"/>
  <c r="C34" i="10"/>
  <c r="D34" i="10"/>
  <c r="E8" i="10"/>
  <c r="E2" i="10"/>
  <c r="E3" i="10"/>
  <c r="E21" i="10"/>
  <c r="E25" i="10"/>
  <c r="E14" i="10"/>
  <c r="E12" i="10"/>
  <c r="E26" i="10"/>
  <c r="E7" i="10"/>
  <c r="E18" i="10"/>
  <c r="E22" i="10"/>
  <c r="E23" i="10"/>
  <c r="E9" i="10"/>
  <c r="E13" i="10"/>
  <c r="E15" i="10"/>
  <c r="E31" i="10"/>
  <c r="E17" i="10"/>
  <c r="E4" i="10"/>
  <c r="E20" i="10"/>
  <c r="E10" i="10"/>
  <c r="E29" i="10"/>
  <c r="E6" i="10"/>
  <c r="E33" i="10"/>
  <c r="E19" i="10"/>
  <c r="E24" i="10"/>
  <c r="E11" i="10"/>
  <c r="E27" i="10"/>
  <c r="E30" i="10"/>
  <c r="E5" i="10"/>
  <c r="E28" i="10"/>
  <c r="E32" i="10"/>
  <c r="E16" i="10"/>
  <c r="M5" i="10" l="1"/>
  <c r="I121" i="1"/>
  <c r="H32" i="1"/>
  <c r="H64" i="1"/>
  <c r="H72" i="1"/>
  <c r="H124" i="1"/>
  <c r="I142" i="1"/>
  <c r="I7" i="1"/>
  <c r="I40" i="1"/>
  <c r="I96" i="1"/>
  <c r="H155" i="1"/>
  <c r="I37" i="1"/>
  <c r="I133" i="1"/>
  <c r="H108" i="1"/>
  <c r="H73" i="1"/>
  <c r="I79" i="1"/>
  <c r="I139" i="1"/>
  <c r="H2" i="1"/>
  <c r="H30" i="1"/>
  <c r="H118" i="1"/>
  <c r="I60" i="1"/>
  <c r="H12" i="1"/>
  <c r="I107" i="1"/>
  <c r="I147" i="1"/>
  <c r="H134" i="1"/>
  <c r="I28" i="1"/>
  <c r="I56" i="1"/>
  <c r="I116" i="1"/>
  <c r="H43" i="1"/>
  <c r="H91" i="1"/>
  <c r="H159" i="1"/>
  <c r="I45" i="1"/>
  <c r="H68" i="1"/>
  <c r="H145" i="1"/>
  <c r="I123" i="1"/>
  <c r="H106" i="1"/>
  <c r="I16" i="1"/>
  <c r="I84" i="1"/>
  <c r="I152" i="1"/>
  <c r="H23" i="1"/>
  <c r="H63" i="1"/>
  <c r="I153" i="1"/>
  <c r="H100" i="1"/>
  <c r="H41" i="1"/>
  <c r="H109" i="1"/>
  <c r="I55" i="1"/>
  <c r="I67" i="1"/>
  <c r="H86" i="1"/>
  <c r="H138" i="1"/>
  <c r="I20" i="1"/>
  <c r="I132" i="1"/>
  <c r="H7" i="1"/>
  <c r="AA7" i="1" s="1"/>
  <c r="I101" i="1"/>
  <c r="H16" i="1"/>
  <c r="H24" i="1"/>
  <c r="H161" i="1"/>
  <c r="I42" i="1"/>
  <c r="I110" i="1"/>
  <c r="I71" i="1"/>
  <c r="H58" i="1"/>
  <c r="H142" i="1"/>
  <c r="H87" i="1"/>
  <c r="I145" i="1"/>
  <c r="H48" i="1"/>
  <c r="H76" i="1"/>
  <c r="H120" i="1"/>
  <c r="I62" i="1"/>
  <c r="I90" i="1"/>
  <c r="I127" i="1"/>
  <c r="H14" i="1"/>
  <c r="I24" i="1"/>
  <c r="H151" i="1"/>
  <c r="I17" i="1"/>
  <c r="I81" i="1"/>
  <c r="I137" i="1"/>
  <c r="H28" i="1"/>
  <c r="AA28" i="1" s="1"/>
  <c r="H129" i="1"/>
  <c r="I59" i="1"/>
  <c r="H74" i="1"/>
  <c r="H158" i="1"/>
  <c r="I44" i="1"/>
  <c r="H95" i="1"/>
  <c r="I93" i="1"/>
  <c r="H56" i="1"/>
  <c r="I18" i="1"/>
  <c r="I114" i="1"/>
  <c r="I126" i="1"/>
  <c r="H5" i="1"/>
  <c r="H137" i="1"/>
  <c r="I47" i="1"/>
  <c r="I68" i="1"/>
  <c r="H103" i="1"/>
  <c r="I53" i="1"/>
  <c r="I74" i="1"/>
  <c r="I98" i="1"/>
  <c r="I134" i="1"/>
  <c r="I150" i="1"/>
  <c r="H18" i="1"/>
  <c r="H38" i="1"/>
  <c r="H82" i="1"/>
  <c r="I4" i="1"/>
  <c r="H115" i="1"/>
  <c r="I5" i="1"/>
  <c r="H37" i="1"/>
  <c r="AA37" i="1" s="1"/>
  <c r="I23" i="1"/>
  <c r="H50" i="1"/>
  <c r="H110" i="1"/>
  <c r="H150" i="1"/>
  <c r="I76" i="1"/>
  <c r="I80" i="1"/>
  <c r="I148" i="1"/>
  <c r="H99" i="1"/>
  <c r="I49" i="1"/>
  <c r="I73" i="1"/>
  <c r="H104" i="1"/>
  <c r="I122" i="1"/>
  <c r="H57" i="1"/>
  <c r="I31" i="1"/>
  <c r="I91" i="1"/>
  <c r="I136" i="1"/>
  <c r="H11" i="1"/>
  <c r="H119" i="1"/>
  <c r="I33" i="1"/>
  <c r="H8" i="1"/>
  <c r="H96" i="1"/>
  <c r="AA96" i="1" s="1"/>
  <c r="H136" i="1"/>
  <c r="I70" i="1"/>
  <c r="H45" i="1"/>
  <c r="AA45" i="1" s="1"/>
  <c r="I87" i="1"/>
  <c r="I159" i="1"/>
  <c r="I120" i="1"/>
  <c r="I128" i="1"/>
  <c r="I65" i="1"/>
  <c r="I38" i="1"/>
  <c r="H93" i="1"/>
  <c r="AA93" i="1" s="1"/>
  <c r="I111" i="1"/>
  <c r="I155" i="1"/>
  <c r="H146" i="1"/>
  <c r="H15" i="1"/>
  <c r="H27" i="1"/>
  <c r="H59" i="1"/>
  <c r="H107" i="1"/>
  <c r="I21" i="1"/>
  <c r="H4" i="1"/>
  <c r="I39" i="1"/>
  <c r="I83" i="1"/>
  <c r="I103" i="1"/>
  <c r="I151" i="1"/>
  <c r="H54" i="1"/>
  <c r="H71" i="1"/>
  <c r="H123" i="1"/>
  <c r="AA123" i="1" s="1"/>
  <c r="H135" i="1"/>
  <c r="I29" i="1"/>
  <c r="I85" i="1"/>
  <c r="I109" i="1"/>
  <c r="I125" i="1"/>
  <c r="H97" i="1"/>
  <c r="H141" i="1"/>
  <c r="I156" i="1"/>
  <c r="H3" i="1"/>
  <c r="H39" i="1"/>
  <c r="AA39" i="1" s="1"/>
  <c r="H51" i="1"/>
  <c r="I77" i="1"/>
  <c r="H128" i="1"/>
  <c r="AA128" i="1" s="1"/>
  <c r="H148" i="1"/>
  <c r="I14" i="1"/>
  <c r="H157" i="1"/>
  <c r="I95" i="1"/>
  <c r="H26" i="1"/>
  <c r="H42" i="1"/>
  <c r="I64" i="1"/>
  <c r="H83" i="1"/>
  <c r="I89" i="1"/>
  <c r="I113" i="1"/>
  <c r="I22" i="1"/>
  <c r="H125" i="1"/>
  <c r="AA125" i="1" s="1"/>
  <c r="I63" i="1"/>
  <c r="H10" i="1"/>
  <c r="H102" i="1"/>
  <c r="H154" i="1"/>
  <c r="I140" i="1"/>
  <c r="H47" i="1"/>
  <c r="AA47" i="1" s="1"/>
  <c r="I157" i="1"/>
  <c r="H52" i="1"/>
  <c r="I6" i="1"/>
  <c r="I66" i="1"/>
  <c r="I94" i="1"/>
  <c r="H33" i="1"/>
  <c r="H85" i="1"/>
  <c r="H121" i="1"/>
  <c r="AA121" i="1" s="1"/>
  <c r="I143" i="1"/>
  <c r="I48" i="1"/>
  <c r="H153" i="1"/>
  <c r="AA153" i="1" s="1"/>
  <c r="I30" i="1"/>
  <c r="H13" i="1"/>
  <c r="H113" i="1"/>
  <c r="I51" i="1"/>
  <c r="I131" i="1"/>
  <c r="H46" i="1"/>
  <c r="H66" i="1"/>
  <c r="I92" i="1"/>
  <c r="I100" i="1"/>
  <c r="I161" i="1"/>
  <c r="I138" i="1"/>
  <c r="H77" i="1"/>
  <c r="I3" i="1"/>
  <c r="I119" i="1"/>
  <c r="H90" i="1"/>
  <c r="AA90" i="1" s="1"/>
  <c r="H94" i="1"/>
  <c r="I32" i="1"/>
  <c r="H35" i="1"/>
  <c r="H131" i="1"/>
  <c r="I61" i="1"/>
  <c r="I149" i="1"/>
  <c r="H88" i="1"/>
  <c r="H116" i="1"/>
  <c r="AA116" i="1" s="1"/>
  <c r="I26" i="1"/>
  <c r="I102" i="1"/>
  <c r="I130" i="1"/>
  <c r="H9" i="1"/>
  <c r="H49" i="1"/>
  <c r="AA49" i="1" s="1"/>
  <c r="H139" i="1"/>
  <c r="I105" i="1"/>
  <c r="H44" i="1"/>
  <c r="H60" i="1"/>
  <c r="AA60" i="1" s="1"/>
  <c r="H112" i="1"/>
  <c r="I78" i="1"/>
  <c r="I154" i="1"/>
  <c r="I11" i="1"/>
  <c r="I27" i="1"/>
  <c r="H122" i="1"/>
  <c r="H143" i="1"/>
  <c r="I13" i="1"/>
  <c r="I117" i="1"/>
  <c r="H20" i="1"/>
  <c r="H156" i="1"/>
  <c r="H81" i="1"/>
  <c r="AA81" i="1" s="1"/>
  <c r="H101" i="1"/>
  <c r="I35" i="1"/>
  <c r="H70" i="1"/>
  <c r="I52" i="1"/>
  <c r="I124" i="1"/>
  <c r="I25" i="1"/>
  <c r="H160" i="1"/>
  <c r="I82" i="1"/>
  <c r="I146" i="1"/>
  <c r="H17" i="1"/>
  <c r="H65" i="1"/>
  <c r="H105" i="1"/>
  <c r="I43" i="1"/>
  <c r="H62" i="1"/>
  <c r="AA62" i="1" s="1"/>
  <c r="H130" i="1"/>
  <c r="I141" i="1"/>
  <c r="H92" i="1"/>
  <c r="I34" i="1"/>
  <c r="I162" i="1"/>
  <c r="H117" i="1"/>
  <c r="H6" i="1"/>
  <c r="H22" i="1"/>
  <c r="AA22" i="1" s="1"/>
  <c r="I72" i="1"/>
  <c r="I108" i="1"/>
  <c r="H55" i="1"/>
  <c r="AA55" i="1" s="1"/>
  <c r="H152" i="1"/>
  <c r="AA152" i="1" s="1"/>
  <c r="I58" i="1"/>
  <c r="I86" i="1"/>
  <c r="H21" i="1"/>
  <c r="H69" i="1"/>
  <c r="I99" i="1"/>
  <c r="I135" i="1"/>
  <c r="H114" i="1"/>
  <c r="AA114" i="1" s="1"/>
  <c r="I8" i="1"/>
  <c r="I36" i="1"/>
  <c r="H127" i="1"/>
  <c r="AA127" i="1" s="1"/>
  <c r="H36" i="1"/>
  <c r="H84" i="1"/>
  <c r="AA84" i="1" s="1"/>
  <c r="I50" i="1"/>
  <c r="I158" i="1"/>
  <c r="I19" i="1"/>
  <c r="H98" i="1"/>
  <c r="AA98" i="1" s="1"/>
  <c r="H126" i="1"/>
  <c r="AA126" i="1" s="1"/>
  <c r="I12" i="1"/>
  <c r="I144" i="1"/>
  <c r="H67" i="1"/>
  <c r="AA67" i="1" s="1"/>
  <c r="H132" i="1"/>
  <c r="AA132" i="1" s="1"/>
  <c r="H144" i="1"/>
  <c r="I10" i="1"/>
  <c r="I46" i="1"/>
  <c r="I118" i="1"/>
  <c r="H29" i="1"/>
  <c r="AA29" i="1" s="1"/>
  <c r="H61" i="1"/>
  <c r="I75" i="1"/>
  <c r="I104" i="1"/>
  <c r="H79" i="1"/>
  <c r="I57" i="1"/>
  <c r="I129" i="1"/>
  <c r="H40" i="1"/>
  <c r="H140" i="1"/>
  <c r="AA140" i="1" s="1"/>
  <c r="I2" i="1"/>
  <c r="H25" i="1"/>
  <c r="AA25" i="1" s="1"/>
  <c r="H149" i="1"/>
  <c r="H78" i="1"/>
  <c r="I88" i="1"/>
  <c r="H111" i="1"/>
  <c r="I9" i="1"/>
  <c r="I41" i="1"/>
  <c r="I97" i="1"/>
  <c r="I54" i="1"/>
  <c r="H89" i="1"/>
  <c r="H133" i="1"/>
  <c r="AA133" i="1" s="1"/>
  <c r="H162" i="1"/>
  <c r="I112" i="1"/>
  <c r="H31" i="1"/>
  <c r="H75" i="1"/>
  <c r="I69" i="1"/>
  <c r="H80" i="1"/>
  <c r="AA80" i="1" s="1"/>
  <c r="I106" i="1"/>
  <c r="H53" i="1"/>
  <c r="AA53" i="1" s="1"/>
  <c r="I15" i="1"/>
  <c r="I115" i="1"/>
  <c r="H34" i="1"/>
  <c r="I160" i="1"/>
  <c r="H19" i="1"/>
  <c r="AA19" i="1" s="1"/>
  <c r="H147" i="1"/>
  <c r="M17" i="10"/>
  <c r="M8" i="10"/>
  <c r="G28" i="10"/>
  <c r="G11" i="10"/>
  <c r="G6" i="10"/>
  <c r="G4" i="10"/>
  <c r="G13" i="10"/>
  <c r="G18" i="10"/>
  <c r="G14" i="10"/>
  <c r="G2" i="10"/>
  <c r="G5" i="10"/>
  <c r="G24" i="10"/>
  <c r="G29" i="10"/>
  <c r="G17" i="10"/>
  <c r="G9" i="10"/>
  <c r="G7" i="10"/>
  <c r="G25" i="10"/>
  <c r="G8" i="10"/>
  <c r="G16" i="10"/>
  <c r="G30" i="10"/>
  <c r="G19" i="10"/>
  <c r="G32" i="10"/>
  <c r="G27" i="10"/>
  <c r="G33" i="10"/>
  <c r="G20" i="10"/>
  <c r="G15" i="10"/>
  <c r="G22" i="10"/>
  <c r="G12" i="10"/>
  <c r="G3" i="10"/>
  <c r="G10" i="10"/>
  <c r="G31" i="10"/>
  <c r="G23" i="10"/>
  <c r="G26" i="10"/>
  <c r="G21" i="10"/>
  <c r="L34" i="10"/>
  <c r="K34" i="10"/>
  <c r="F34" i="10"/>
  <c r="E34" i="10"/>
  <c r="O135" i="1"/>
  <c r="J135" i="1"/>
  <c r="Y135" i="1" l="1"/>
  <c r="Z135" i="1" s="1"/>
  <c r="Q135" i="1"/>
  <c r="AA142" i="1"/>
  <c r="AA85" i="1"/>
  <c r="AA59" i="1"/>
  <c r="AA79" i="1"/>
  <c r="AA117" i="1"/>
  <c r="AA78" i="1"/>
  <c r="AA105" i="1"/>
  <c r="AA77" i="1"/>
  <c r="AA148" i="1"/>
  <c r="AA137" i="1"/>
  <c r="AA56" i="1"/>
  <c r="AA71" i="1"/>
  <c r="AA107" i="1"/>
  <c r="AA34" i="1"/>
  <c r="AA70" i="1"/>
  <c r="AA156" i="1"/>
  <c r="AA143" i="1"/>
  <c r="AA33" i="1"/>
  <c r="AA21" i="1"/>
  <c r="AA31" i="1"/>
  <c r="AA149" i="1"/>
  <c r="AA83" i="1"/>
  <c r="AA20" i="1"/>
  <c r="AA110" i="1"/>
  <c r="AA130" i="1"/>
  <c r="AA131" i="1"/>
  <c r="AA66" i="1"/>
  <c r="AA113" i="1"/>
  <c r="O21" i="10"/>
  <c r="O10" i="10"/>
  <c r="O15" i="10"/>
  <c r="O8" i="10"/>
  <c r="O2" i="10"/>
  <c r="O4" i="10"/>
  <c r="O26" i="10"/>
  <c r="O20" i="10"/>
  <c r="O29" i="10"/>
  <c r="O14" i="10"/>
  <c r="O33" i="10"/>
  <c r="O7" i="10"/>
  <c r="O18" i="10"/>
  <c r="O3" i="10"/>
  <c r="O19" i="10"/>
  <c r="O25" i="10"/>
  <c r="O6" i="10"/>
  <c r="O23" i="10"/>
  <c r="O12" i="10"/>
  <c r="O30" i="10"/>
  <c r="O24" i="10"/>
  <c r="O11" i="10"/>
  <c r="O31" i="10"/>
  <c r="O22" i="10"/>
  <c r="O27" i="10"/>
  <c r="O16" i="10"/>
  <c r="O9" i="10"/>
  <c r="O5" i="10"/>
  <c r="O13" i="10"/>
  <c r="O28" i="10"/>
  <c r="M34" i="10"/>
  <c r="N4" i="10" s="1"/>
  <c r="F147" i="1" s="1"/>
  <c r="AA40" i="1"/>
  <c r="AA65" i="1"/>
  <c r="AA4" i="1"/>
  <c r="AA147" i="1"/>
  <c r="AA111" i="1"/>
  <c r="AA17" i="1"/>
  <c r="AA122" i="1"/>
  <c r="AA89" i="1"/>
  <c r="AA44" i="1"/>
  <c r="AA150" i="1"/>
  <c r="AA162" i="1"/>
  <c r="AA61" i="1"/>
  <c r="AA6" i="1"/>
  <c r="AA92" i="1"/>
  <c r="AA101" i="1"/>
  <c r="AA139" i="1"/>
  <c r="AA42" i="1"/>
  <c r="AA18" i="1"/>
  <c r="AA16" i="1"/>
  <c r="AA94" i="1"/>
  <c r="AA144" i="1"/>
  <c r="O17" i="10"/>
  <c r="AA75" i="1"/>
  <c r="AA26" i="1"/>
  <c r="AA97" i="1"/>
  <c r="AA54" i="1"/>
  <c r="AA11" i="1"/>
  <c r="AA57" i="1"/>
  <c r="AA129" i="1"/>
  <c r="AA76" i="1"/>
  <c r="AA138" i="1"/>
  <c r="AA109" i="1"/>
  <c r="AA63" i="1"/>
  <c r="AA68" i="1"/>
  <c r="AA43" i="1"/>
  <c r="AA134" i="1"/>
  <c r="AA72" i="1"/>
  <c r="AA160" i="1"/>
  <c r="AA9" i="1"/>
  <c r="AA52" i="1"/>
  <c r="AA154" i="1"/>
  <c r="AA3" i="1"/>
  <c r="AA135" i="1"/>
  <c r="AA27" i="1"/>
  <c r="AA8" i="1"/>
  <c r="AA99" i="1"/>
  <c r="AA82" i="1"/>
  <c r="AA103" i="1"/>
  <c r="AA5" i="1"/>
  <c r="AA158" i="1"/>
  <c r="AA151" i="1"/>
  <c r="AA48" i="1"/>
  <c r="AA58" i="1"/>
  <c r="AA161" i="1"/>
  <c r="AA86" i="1"/>
  <c r="AA41" i="1"/>
  <c r="AA23" i="1"/>
  <c r="AA106" i="1"/>
  <c r="AA118" i="1"/>
  <c r="AA64" i="1"/>
  <c r="AA69" i="1"/>
  <c r="AA88" i="1"/>
  <c r="AA35" i="1"/>
  <c r="AA46" i="1"/>
  <c r="AA13" i="1"/>
  <c r="AA102" i="1"/>
  <c r="AA157" i="1"/>
  <c r="AA15" i="1"/>
  <c r="AA104" i="1"/>
  <c r="AA38" i="1"/>
  <c r="AA74" i="1"/>
  <c r="AA24" i="1"/>
  <c r="AA100" i="1"/>
  <c r="AA159" i="1"/>
  <c r="AA30" i="1"/>
  <c r="AA73" i="1"/>
  <c r="AA155" i="1"/>
  <c r="AA32" i="1"/>
  <c r="I179" i="1"/>
  <c r="AA36" i="1"/>
  <c r="AA112" i="1"/>
  <c r="AA10" i="1"/>
  <c r="AA51" i="1"/>
  <c r="AA141" i="1"/>
  <c r="AA146" i="1"/>
  <c r="AA136" i="1"/>
  <c r="AA119" i="1"/>
  <c r="AA50" i="1"/>
  <c r="AA115" i="1"/>
  <c r="AA95" i="1"/>
  <c r="AA14" i="1"/>
  <c r="AA120" i="1"/>
  <c r="AA87" i="1"/>
  <c r="AA145" i="1"/>
  <c r="AA91" i="1"/>
  <c r="AA12" i="1"/>
  <c r="AA2" i="1"/>
  <c r="H179" i="1"/>
  <c r="AA108" i="1"/>
  <c r="AA124" i="1"/>
  <c r="O32" i="10"/>
  <c r="G34" i="10"/>
  <c r="M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N21" i="10" l="1"/>
  <c r="N2" i="10"/>
  <c r="F62" i="1" s="1"/>
  <c r="N17" i="10"/>
  <c r="F35" i="1" s="1"/>
  <c r="N14" i="10"/>
  <c r="G58" i="1" s="1"/>
  <c r="N3" i="10"/>
  <c r="F106" i="1" s="1"/>
  <c r="N23" i="10"/>
  <c r="F100" i="1" s="1"/>
  <c r="N31" i="10"/>
  <c r="F48" i="1" s="1"/>
  <c r="N18" i="10"/>
  <c r="G109" i="1" s="1"/>
  <c r="N30" i="10"/>
  <c r="G141" i="1" s="1"/>
  <c r="N33" i="10"/>
  <c r="G114" i="1" s="1"/>
  <c r="N12" i="10"/>
  <c r="F9" i="1" s="1"/>
  <c r="N13" i="10"/>
  <c r="F84" i="1" s="1"/>
  <c r="N15" i="10"/>
  <c r="G79" i="1" s="1"/>
  <c r="N27" i="10"/>
  <c r="G55" i="1" s="1"/>
  <c r="N11" i="10"/>
  <c r="G124" i="1" s="1"/>
  <c r="N24" i="10"/>
  <c r="G44" i="1" s="1"/>
  <c r="N7" i="10"/>
  <c r="F53" i="1" s="1"/>
  <c r="N29" i="10"/>
  <c r="G137" i="1" s="1"/>
  <c r="N6" i="10"/>
  <c r="F37" i="1" s="1"/>
  <c r="N16" i="10"/>
  <c r="F39" i="1" s="1"/>
  <c r="N32" i="10"/>
  <c r="F25" i="1" s="1"/>
  <c r="N26" i="10"/>
  <c r="G131" i="1" s="1"/>
  <c r="N10" i="10"/>
  <c r="F22" i="1" s="1"/>
  <c r="N22" i="10"/>
  <c r="F129" i="1" s="1"/>
  <c r="N9" i="10"/>
  <c r="F65" i="1" s="1"/>
  <c r="N19" i="10"/>
  <c r="F14" i="1" s="1"/>
  <c r="N28" i="10"/>
  <c r="F81" i="1" s="1"/>
  <c r="F132" i="1"/>
  <c r="O34" i="10"/>
  <c r="G160" i="1"/>
  <c r="G17" i="1"/>
  <c r="F44" i="1"/>
  <c r="G53" i="1"/>
  <c r="G34" i="1"/>
  <c r="F130" i="1"/>
  <c r="G9" i="1"/>
  <c r="F61" i="1"/>
  <c r="F26" i="1"/>
  <c r="G139" i="1"/>
  <c r="G116" i="1"/>
  <c r="G88" i="1"/>
  <c r="F149" i="1"/>
  <c r="F102" i="1"/>
  <c r="G14" i="1"/>
  <c r="F90" i="1"/>
  <c r="G48" i="1"/>
  <c r="G76" i="1"/>
  <c r="F24" i="1"/>
  <c r="G113" i="1"/>
  <c r="G13" i="1"/>
  <c r="F51" i="1"/>
  <c r="F131" i="1"/>
  <c r="G66" i="1"/>
  <c r="F92" i="1"/>
  <c r="G153" i="1"/>
  <c r="G46" i="1"/>
  <c r="N5" i="10"/>
  <c r="N20" i="10"/>
  <c r="N8" i="10"/>
  <c r="N25" i="10"/>
  <c r="F96" i="1"/>
  <c r="F121" i="1"/>
  <c r="G49" i="1"/>
  <c r="G134" i="1"/>
  <c r="F89" i="1"/>
  <c r="F66" i="1"/>
  <c r="G121" i="1"/>
  <c r="F125" i="1"/>
  <c r="F85" i="1"/>
  <c r="G132" i="1"/>
  <c r="G29" i="1"/>
  <c r="G75" i="1"/>
  <c r="G31" i="1"/>
  <c r="F145" i="1"/>
  <c r="G120" i="1"/>
  <c r="G12" i="1"/>
  <c r="G91" i="1"/>
  <c r="F75" i="1"/>
  <c r="G10" i="1"/>
  <c r="G47" i="1"/>
  <c r="G107" i="1"/>
  <c r="F155" i="1"/>
  <c r="F116" i="1"/>
  <c r="F107" i="1"/>
  <c r="F28" i="1"/>
  <c r="G159" i="1"/>
  <c r="G43" i="1"/>
  <c r="F56" i="1"/>
  <c r="F142" i="1"/>
  <c r="F150" i="1"/>
  <c r="G108" i="1"/>
  <c r="F79" i="1"/>
  <c r="G38" i="1"/>
  <c r="G151" i="1"/>
  <c r="F40" i="1"/>
  <c r="G28" i="1"/>
  <c r="F127" i="1"/>
  <c r="F30" i="1"/>
  <c r="G115" i="1"/>
  <c r="H5" i="10"/>
  <c r="H4" i="10"/>
  <c r="H16" i="10"/>
  <c r="H13" i="10"/>
  <c r="H20" i="10"/>
  <c r="H23" i="10"/>
  <c r="H28" i="10"/>
  <c r="H6" i="10"/>
  <c r="H8" i="10"/>
  <c r="H12" i="10"/>
  <c r="H14" i="10"/>
  <c r="H19" i="10"/>
  <c r="H25" i="10"/>
  <c r="H29" i="10"/>
  <c r="H33" i="10"/>
  <c r="H2" i="10"/>
  <c r="H9" i="10"/>
  <c r="H7" i="10"/>
  <c r="H15" i="10"/>
  <c r="H21" i="10"/>
  <c r="H22" i="10"/>
  <c r="H24" i="10"/>
  <c r="H30" i="10"/>
  <c r="H3" i="10"/>
  <c r="H10" i="10"/>
  <c r="H11" i="10"/>
  <c r="H18" i="10"/>
  <c r="H17" i="10"/>
  <c r="H26" i="10"/>
  <c r="H27" i="10"/>
  <c r="H31" i="10"/>
  <c r="H32" i="10"/>
  <c r="K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S148" i="1"/>
  <c r="AD148" i="1" s="1"/>
  <c r="S147" i="1"/>
  <c r="AD147" i="1" s="1"/>
  <c r="S146" i="1"/>
  <c r="AD146" i="1" s="1"/>
  <c r="S145" i="1"/>
  <c r="AD145" i="1" s="1"/>
  <c r="S144" i="1"/>
  <c r="AD144" i="1" s="1"/>
  <c r="S143" i="1"/>
  <c r="AD143" i="1" s="1"/>
  <c r="S142" i="1"/>
  <c r="AD142" i="1" s="1"/>
  <c r="S141" i="1"/>
  <c r="AD141" i="1" s="1"/>
  <c r="S140" i="1"/>
  <c r="AD140" i="1" s="1"/>
  <c r="S139" i="1"/>
  <c r="AD139" i="1" s="1"/>
  <c r="S138" i="1"/>
  <c r="AD138" i="1" s="1"/>
  <c r="S137" i="1"/>
  <c r="AD137" i="1" s="1"/>
  <c r="S136" i="1"/>
  <c r="AD136" i="1" s="1"/>
  <c r="S135" i="1"/>
  <c r="AD135" i="1" s="1"/>
  <c r="G2" i="1" l="1"/>
  <c r="G72" i="1"/>
  <c r="G89" i="1"/>
  <c r="F97" i="1"/>
  <c r="G85" i="1"/>
  <c r="G70" i="1"/>
  <c r="G73" i="1"/>
  <c r="G64" i="1"/>
  <c r="G133" i="1"/>
  <c r="F54" i="1"/>
  <c r="F94" i="1"/>
  <c r="G156" i="1"/>
  <c r="G118" i="1"/>
  <c r="G30" i="1"/>
  <c r="G32" i="1"/>
  <c r="G154" i="1"/>
  <c r="F63" i="1"/>
  <c r="F41" i="1"/>
  <c r="F112" i="1"/>
  <c r="G52" i="1"/>
  <c r="F143" i="1"/>
  <c r="G20" i="1"/>
  <c r="G81" i="1"/>
  <c r="F13" i="1"/>
  <c r="N13" i="1" s="1"/>
  <c r="AC13" i="1" s="1"/>
  <c r="F60" i="1"/>
  <c r="F133" i="1"/>
  <c r="F139" i="1"/>
  <c r="N139" i="1" s="1"/>
  <c r="AC139" i="1" s="1"/>
  <c r="F7" i="1"/>
  <c r="F113" i="1"/>
  <c r="G125" i="1"/>
  <c r="G162" i="1"/>
  <c r="F6" i="1"/>
  <c r="G33" i="1"/>
  <c r="G102" i="1"/>
  <c r="F52" i="1"/>
  <c r="G129" i="1"/>
  <c r="N129" i="1" s="1"/>
  <c r="AC129" i="1" s="1"/>
  <c r="G74" i="1"/>
  <c r="F117" i="1"/>
  <c r="F157" i="1"/>
  <c r="G155" i="1"/>
  <c r="N155" i="1" s="1"/>
  <c r="AC155" i="1" s="1"/>
  <c r="N48" i="1"/>
  <c r="AC48" i="1" s="1"/>
  <c r="F124" i="1"/>
  <c r="G101" i="1"/>
  <c r="G158" i="1"/>
  <c r="F140" i="1"/>
  <c r="F137" i="1"/>
  <c r="G95" i="1"/>
  <c r="F59" i="1"/>
  <c r="F17" i="1"/>
  <c r="N9" i="1"/>
  <c r="AC9" i="1" s="1"/>
  <c r="F16" i="1"/>
  <c r="F42" i="1"/>
  <c r="F88" i="1"/>
  <c r="N88" i="1" s="1"/>
  <c r="AC88" i="1" s="1"/>
  <c r="G138" i="1"/>
  <c r="G123" i="1"/>
  <c r="N81" i="1"/>
  <c r="AC81" i="1" s="1"/>
  <c r="F151" i="1"/>
  <c r="N151" i="1" s="1"/>
  <c r="AC151" i="1" s="1"/>
  <c r="F55" i="1"/>
  <c r="N55" i="1" s="1"/>
  <c r="AC55" i="1" s="1"/>
  <c r="N89" i="1"/>
  <c r="AC89" i="1" s="1"/>
  <c r="G16" i="1"/>
  <c r="F2" i="1"/>
  <c r="N2" i="1" s="1"/>
  <c r="AC2" i="1" s="1"/>
  <c r="G135" i="1"/>
  <c r="F105" i="1"/>
  <c r="G86" i="1"/>
  <c r="G24" i="1"/>
  <c r="N24" i="1" s="1"/>
  <c r="AC24" i="1" s="1"/>
  <c r="F57" i="1"/>
  <c r="N44" i="1"/>
  <c r="AC44" i="1" s="1"/>
  <c r="G78" i="1"/>
  <c r="F11" i="1"/>
  <c r="F123" i="1"/>
  <c r="G4" i="1"/>
  <c r="G71" i="1"/>
  <c r="F27" i="1"/>
  <c r="G112" i="1"/>
  <c r="G68" i="1"/>
  <c r="G23" i="1"/>
  <c r="F45" i="1"/>
  <c r="G7" i="1"/>
  <c r="G41" i="1"/>
  <c r="N41" i="1" s="1"/>
  <c r="AC41" i="1" s="1"/>
  <c r="F71" i="1"/>
  <c r="N71" i="1" s="1"/>
  <c r="AC71" i="1" s="1"/>
  <c r="G87" i="1"/>
  <c r="G25" i="1"/>
  <c r="N25" i="1" s="1"/>
  <c r="AC25" i="1" s="1"/>
  <c r="G140" i="1"/>
  <c r="F21" i="1"/>
  <c r="G54" i="1"/>
  <c r="N54" i="1" s="1"/>
  <c r="AC54" i="1" s="1"/>
  <c r="G143" i="1"/>
  <c r="N143" i="1" s="1"/>
  <c r="AC143" i="1" s="1"/>
  <c r="G60" i="1"/>
  <c r="G106" i="1"/>
  <c r="N106" i="1" s="1"/>
  <c r="AC106" i="1" s="1"/>
  <c r="F152" i="1"/>
  <c r="F20" i="1"/>
  <c r="N20" i="1" s="1"/>
  <c r="AC20" i="1" s="1"/>
  <c r="G161" i="1"/>
  <c r="F110" i="1"/>
  <c r="G149" i="1"/>
  <c r="N149" i="1" s="1"/>
  <c r="AC149" i="1" s="1"/>
  <c r="G40" i="1"/>
  <c r="N40" i="1" s="1"/>
  <c r="AC40" i="1" s="1"/>
  <c r="F154" i="1"/>
  <c r="F153" i="1"/>
  <c r="N153" i="1" s="1"/>
  <c r="AC153" i="1" s="1"/>
  <c r="F83" i="1"/>
  <c r="F103" i="1"/>
  <c r="G122" i="1"/>
  <c r="F78" i="1"/>
  <c r="N78" i="1" s="1"/>
  <c r="AC78" i="1" s="1"/>
  <c r="G145" i="1"/>
  <c r="N145" i="1" s="1"/>
  <c r="AC145" i="1" s="1"/>
  <c r="G63" i="1"/>
  <c r="N63" i="1" s="1"/>
  <c r="AC63" i="1" s="1"/>
  <c r="F67" i="1"/>
  <c r="G142" i="1"/>
  <c r="N142" i="1" s="1"/>
  <c r="AC142" i="1" s="1"/>
  <c r="F101" i="1"/>
  <c r="G111" i="1"/>
  <c r="G100" i="1"/>
  <c r="N100" i="1" s="1"/>
  <c r="AC100" i="1" s="1"/>
  <c r="G80" i="1"/>
  <c r="F134" i="1"/>
  <c r="N134" i="1" s="1"/>
  <c r="AC134" i="1" s="1"/>
  <c r="F98" i="1"/>
  <c r="F111" i="1"/>
  <c r="G93" i="1"/>
  <c r="F38" i="1"/>
  <c r="N38" i="1" s="1"/>
  <c r="AC38" i="1" s="1"/>
  <c r="F69" i="1"/>
  <c r="G61" i="1"/>
  <c r="N61" i="1" s="1"/>
  <c r="AC61" i="1" s="1"/>
  <c r="F46" i="1"/>
  <c r="N46" i="1" s="1"/>
  <c r="AC46" i="1" s="1"/>
  <c r="G3" i="1"/>
  <c r="G39" i="1"/>
  <c r="N39" i="1" s="1"/>
  <c r="AC39" i="1" s="1"/>
  <c r="G147" i="1"/>
  <c r="N147" i="1" s="1"/>
  <c r="AC147" i="1" s="1"/>
  <c r="G65" i="1"/>
  <c r="N65" i="1" s="1"/>
  <c r="AC65" i="1" s="1"/>
  <c r="G130" i="1"/>
  <c r="N130" i="1" s="1"/>
  <c r="AC130" i="1" s="1"/>
  <c r="F29" i="1"/>
  <c r="N29" i="1" s="1"/>
  <c r="AC29" i="1" s="1"/>
  <c r="F74" i="1"/>
  <c r="N74" i="1" s="1"/>
  <c r="AC74" i="1" s="1"/>
  <c r="G82" i="1"/>
  <c r="G27" i="1"/>
  <c r="N27" i="1" s="1"/>
  <c r="AC27" i="1" s="1"/>
  <c r="G146" i="1"/>
  <c r="F115" i="1"/>
  <c r="N115" i="1" s="1"/>
  <c r="AC115" i="1" s="1"/>
  <c r="F10" i="1"/>
  <c r="N10" i="1" s="1"/>
  <c r="AC10" i="1" s="1"/>
  <c r="F118" i="1"/>
  <c r="N118" i="1" s="1"/>
  <c r="AC118" i="1" s="1"/>
  <c r="G97" i="1"/>
  <c r="F109" i="1"/>
  <c r="N109" i="1" s="1"/>
  <c r="AC109" i="1" s="1"/>
  <c r="F160" i="1"/>
  <c r="N160" i="1" s="1"/>
  <c r="F43" i="1"/>
  <c r="N43" i="1" s="1"/>
  <c r="AC43" i="1" s="1"/>
  <c r="G105" i="1"/>
  <c r="F146" i="1"/>
  <c r="F156" i="1"/>
  <c r="N156" i="1" s="1"/>
  <c r="AC156" i="1" s="1"/>
  <c r="F4" i="1"/>
  <c r="G15" i="1"/>
  <c r="G59" i="1"/>
  <c r="F104" i="1"/>
  <c r="G144" i="1"/>
  <c r="G51" i="1"/>
  <c r="N51" i="1" s="1"/>
  <c r="AC51" i="1" s="1"/>
  <c r="G18" i="1"/>
  <c r="F15" i="1"/>
  <c r="G19" i="1"/>
  <c r="G62" i="1"/>
  <c r="F82" i="1"/>
  <c r="N14" i="1"/>
  <c r="AC14" i="1" s="1"/>
  <c r="N85" i="1"/>
  <c r="AC85" i="1" s="1"/>
  <c r="F34" i="1"/>
  <c r="N34" i="1" s="1"/>
  <c r="AC34" i="1" s="1"/>
  <c r="F47" i="1"/>
  <c r="N47" i="1" s="1"/>
  <c r="AC47" i="1" s="1"/>
  <c r="G21" i="1"/>
  <c r="F95" i="1"/>
  <c r="G77" i="1"/>
  <c r="F18" i="1"/>
  <c r="F64" i="1"/>
  <c r="N64" i="1" s="1"/>
  <c r="AC64" i="1" s="1"/>
  <c r="G152" i="1"/>
  <c r="N152" i="1" s="1"/>
  <c r="AC152" i="1" s="1"/>
  <c r="F3" i="1"/>
  <c r="F93" i="1"/>
  <c r="F141" i="1"/>
  <c r="N141" i="1" s="1"/>
  <c r="AC141" i="1" s="1"/>
  <c r="G94" i="1"/>
  <c r="F58" i="1"/>
  <c r="N58" i="1" s="1"/>
  <c r="AC58" i="1" s="1"/>
  <c r="N66" i="1"/>
  <c r="AC66" i="1" s="1"/>
  <c r="G90" i="1"/>
  <c r="N90" i="1" s="1"/>
  <c r="AC90" i="1" s="1"/>
  <c r="G103" i="1"/>
  <c r="G56" i="1"/>
  <c r="N56" i="1" s="1"/>
  <c r="AC56" i="1" s="1"/>
  <c r="G92" i="1"/>
  <c r="N92" i="1" s="1"/>
  <c r="AC92" i="1" s="1"/>
  <c r="G117" i="1"/>
  <c r="N117" i="1" s="1"/>
  <c r="AC117" i="1" s="1"/>
  <c r="N113" i="1"/>
  <c r="AC113" i="1" s="1"/>
  <c r="F32" i="1"/>
  <c r="F135" i="1"/>
  <c r="F8" i="1"/>
  <c r="F99" i="1"/>
  <c r="G69" i="1"/>
  <c r="F77" i="1"/>
  <c r="G128" i="1"/>
  <c r="G26" i="1"/>
  <c r="N26" i="1" s="1"/>
  <c r="AC26" i="1" s="1"/>
  <c r="F161" i="1"/>
  <c r="N131" i="1"/>
  <c r="AC131" i="1" s="1"/>
  <c r="G5" i="1"/>
  <c r="F114" i="1"/>
  <c r="N114" i="1" s="1"/>
  <c r="AC114" i="1" s="1"/>
  <c r="G22" i="1"/>
  <c r="N22" i="1" s="1"/>
  <c r="AC22" i="1" s="1"/>
  <c r="F162" i="1"/>
  <c r="N162" i="1" s="1"/>
  <c r="AC162" i="1" s="1"/>
  <c r="F36" i="1"/>
  <c r="F86" i="1"/>
  <c r="G83" i="1"/>
  <c r="G42" i="1"/>
  <c r="F119" i="1"/>
  <c r="G35" i="1"/>
  <c r="N35" i="1" s="1"/>
  <c r="AC35" i="1" s="1"/>
  <c r="G6" i="1"/>
  <c r="F68" i="1"/>
  <c r="N68" i="1" s="1"/>
  <c r="AC68" i="1" s="1"/>
  <c r="F126" i="1"/>
  <c r="F72" i="1"/>
  <c r="N72" i="1" s="1"/>
  <c r="AC72" i="1" s="1"/>
  <c r="F108" i="1"/>
  <c r="N108" i="1" s="1"/>
  <c r="AC108" i="1" s="1"/>
  <c r="G127" i="1"/>
  <c r="N127" i="1" s="1"/>
  <c r="AC127" i="1" s="1"/>
  <c r="G157" i="1"/>
  <c r="N157" i="1" s="1"/>
  <c r="AC157" i="1" s="1"/>
  <c r="G148" i="1"/>
  <c r="F138" i="1"/>
  <c r="N34" i="10"/>
  <c r="N102" i="1"/>
  <c r="AC102" i="1" s="1"/>
  <c r="N125" i="1"/>
  <c r="AC125" i="1" s="1"/>
  <c r="N17" i="1"/>
  <c r="AC17" i="1" s="1"/>
  <c r="F73" i="1"/>
  <c r="N73" i="1" s="1"/>
  <c r="AC73" i="1" s="1"/>
  <c r="G11" i="1"/>
  <c r="G104" i="1"/>
  <c r="G57" i="1"/>
  <c r="F49" i="1"/>
  <c r="N49" i="1" s="1"/>
  <c r="AC49" i="1" s="1"/>
  <c r="F31" i="1"/>
  <c r="N31" i="1" s="1"/>
  <c r="AC31" i="1" s="1"/>
  <c r="F136" i="1"/>
  <c r="F91" i="1"/>
  <c r="N91" i="1" s="1"/>
  <c r="AC91" i="1" s="1"/>
  <c r="G119" i="1"/>
  <c r="F122" i="1"/>
  <c r="G126" i="1"/>
  <c r="G67" i="1"/>
  <c r="F144" i="1"/>
  <c r="F12" i="1"/>
  <c r="N12" i="1" s="1"/>
  <c r="AC12" i="1" s="1"/>
  <c r="G84" i="1"/>
  <c r="N84" i="1" s="1"/>
  <c r="AC84" i="1" s="1"/>
  <c r="F19" i="1"/>
  <c r="G36" i="1"/>
  <c r="G98" i="1"/>
  <c r="F158" i="1"/>
  <c r="F50" i="1"/>
  <c r="F76" i="1"/>
  <c r="N76" i="1" s="1"/>
  <c r="AC76" i="1" s="1"/>
  <c r="G150" i="1"/>
  <c r="N150" i="1" s="1"/>
  <c r="F80" i="1"/>
  <c r="G50" i="1"/>
  <c r="G37" i="1"/>
  <c r="N37" i="1" s="1"/>
  <c r="AC37" i="1" s="1"/>
  <c r="G99" i="1"/>
  <c r="F23" i="1"/>
  <c r="F5" i="1"/>
  <c r="G110" i="1"/>
  <c r="F148" i="1"/>
  <c r="G96" i="1"/>
  <c r="N96" i="1" s="1"/>
  <c r="AC96" i="1" s="1"/>
  <c r="G136" i="1"/>
  <c r="F159" i="1"/>
  <c r="N159" i="1" s="1"/>
  <c r="AC159" i="1" s="1"/>
  <c r="F120" i="1"/>
  <c r="N120" i="1" s="1"/>
  <c r="AC120" i="1" s="1"/>
  <c r="F70" i="1"/>
  <c r="N70" i="1" s="1"/>
  <c r="AC70" i="1" s="1"/>
  <c r="G8" i="1"/>
  <c r="F33" i="1"/>
  <c r="G45" i="1"/>
  <c r="F128" i="1"/>
  <c r="F87" i="1"/>
  <c r="W135" i="1"/>
  <c r="X135" i="1" s="1"/>
  <c r="W143" i="1"/>
  <c r="X143" i="1" s="1"/>
  <c r="W136" i="1"/>
  <c r="X136" i="1" s="1"/>
  <c r="W140" i="1"/>
  <c r="X140" i="1" s="1"/>
  <c r="W144" i="1"/>
  <c r="X144" i="1" s="1"/>
  <c r="W148" i="1"/>
  <c r="X148" i="1" s="1"/>
  <c r="W139" i="1"/>
  <c r="X139" i="1" s="1"/>
  <c r="W137" i="1"/>
  <c r="X137" i="1" s="1"/>
  <c r="W145" i="1"/>
  <c r="X145" i="1" s="1"/>
  <c r="W147" i="1"/>
  <c r="X147" i="1" s="1"/>
  <c r="W141" i="1"/>
  <c r="X141" i="1" s="1"/>
  <c r="W138" i="1"/>
  <c r="X138" i="1" s="1"/>
  <c r="W142" i="1"/>
  <c r="X142" i="1" s="1"/>
  <c r="W146" i="1"/>
  <c r="X146" i="1" s="1"/>
  <c r="N137" i="1"/>
  <c r="AC137" i="1" s="1"/>
  <c r="N75" i="1"/>
  <c r="AC75" i="1" s="1"/>
  <c r="N124" i="1"/>
  <c r="AC124" i="1" s="1"/>
  <c r="N28" i="1"/>
  <c r="AC28" i="1" s="1"/>
  <c r="N107" i="1"/>
  <c r="AC107" i="1" s="1"/>
  <c r="N62" i="1"/>
  <c r="AC62" i="1" s="1"/>
  <c r="N60" i="1"/>
  <c r="AC60" i="1" s="1"/>
  <c r="N53" i="1"/>
  <c r="AC53" i="1" s="1"/>
  <c r="N30" i="1"/>
  <c r="AC30" i="1" s="1"/>
  <c r="N116" i="1"/>
  <c r="AC116" i="1" s="1"/>
  <c r="N79" i="1"/>
  <c r="AC79" i="1" s="1"/>
  <c r="N132" i="1"/>
  <c r="AC132" i="1" s="1"/>
  <c r="N133" i="1"/>
  <c r="AC133" i="1" s="1"/>
  <c r="N121" i="1"/>
  <c r="AC121" i="1" s="1"/>
  <c r="H34" i="10"/>
  <c r="S110" i="1"/>
  <c r="AD110" i="1" s="1"/>
  <c r="S95" i="1"/>
  <c r="AD95" i="1" s="1"/>
  <c r="O123" i="1"/>
  <c r="Q123" i="1" s="1"/>
  <c r="O124" i="1"/>
  <c r="Q124" i="1" s="1"/>
  <c r="O125" i="1"/>
  <c r="Q125" i="1" s="1"/>
  <c r="O126" i="1"/>
  <c r="Q126" i="1" s="1"/>
  <c r="O127" i="1"/>
  <c r="Q127" i="1" s="1"/>
  <c r="O128" i="1"/>
  <c r="Q128" i="1" s="1"/>
  <c r="O129" i="1"/>
  <c r="Q129" i="1" s="1"/>
  <c r="O130" i="1"/>
  <c r="Q130" i="1" s="1"/>
  <c r="O131" i="1"/>
  <c r="Q131" i="1" s="1"/>
  <c r="O132" i="1"/>
  <c r="Q132" i="1" s="1"/>
  <c r="O133" i="1"/>
  <c r="Q133" i="1" s="1"/>
  <c r="O134" i="1"/>
  <c r="Q134" i="1" s="1"/>
  <c r="J123" i="1"/>
  <c r="J124" i="1"/>
  <c r="J125" i="1"/>
  <c r="J126" i="1"/>
  <c r="J127" i="1"/>
  <c r="J128" i="1"/>
  <c r="J129" i="1"/>
  <c r="J130" i="1"/>
  <c r="J131" i="1"/>
  <c r="J132" i="1"/>
  <c r="J133" i="1"/>
  <c r="J134" i="1"/>
  <c r="S2" i="1"/>
  <c r="AD2" i="1" s="1"/>
  <c r="S3" i="1"/>
  <c r="AD3" i="1" s="1"/>
  <c r="S4" i="1"/>
  <c r="AD4" i="1" s="1"/>
  <c r="S5" i="1"/>
  <c r="AD5" i="1" s="1"/>
  <c r="S6" i="1"/>
  <c r="AD6" i="1" s="1"/>
  <c r="S7" i="1"/>
  <c r="AD7" i="1" s="1"/>
  <c r="S8" i="1"/>
  <c r="AD8" i="1" s="1"/>
  <c r="S9" i="1"/>
  <c r="AD9" i="1" s="1"/>
  <c r="S10" i="1"/>
  <c r="AD10" i="1" s="1"/>
  <c r="S11" i="1"/>
  <c r="AD11" i="1" s="1"/>
  <c r="S12" i="1"/>
  <c r="AD12" i="1" s="1"/>
  <c r="S13" i="1"/>
  <c r="AD13" i="1" s="1"/>
  <c r="S14" i="1"/>
  <c r="AD14" i="1" s="1"/>
  <c r="S15" i="1"/>
  <c r="AD15" i="1" s="1"/>
  <c r="S16" i="1"/>
  <c r="AD16" i="1" s="1"/>
  <c r="S17" i="1"/>
  <c r="AD17" i="1" s="1"/>
  <c r="S18" i="1"/>
  <c r="AD18" i="1" s="1"/>
  <c r="S19" i="1"/>
  <c r="AD19" i="1" s="1"/>
  <c r="S20" i="1"/>
  <c r="AD20" i="1" s="1"/>
  <c r="S21" i="1"/>
  <c r="AD21" i="1" s="1"/>
  <c r="S22" i="1"/>
  <c r="AD22" i="1" s="1"/>
  <c r="S23" i="1"/>
  <c r="AD23" i="1" s="1"/>
  <c r="S24" i="1"/>
  <c r="AD24" i="1" s="1"/>
  <c r="S25" i="1"/>
  <c r="AD25" i="1" s="1"/>
  <c r="S26" i="1"/>
  <c r="AD26" i="1" s="1"/>
  <c r="S27" i="1"/>
  <c r="AD27" i="1" s="1"/>
  <c r="S28" i="1"/>
  <c r="AD28" i="1" s="1"/>
  <c r="S29" i="1"/>
  <c r="AD29" i="1" s="1"/>
  <c r="S30" i="1"/>
  <c r="AD30" i="1" s="1"/>
  <c r="S31" i="1"/>
  <c r="AD31" i="1" s="1"/>
  <c r="S32" i="1"/>
  <c r="AD32" i="1" s="1"/>
  <c r="S33" i="1"/>
  <c r="AD33" i="1" s="1"/>
  <c r="S34" i="1"/>
  <c r="AD34" i="1" s="1"/>
  <c r="S35" i="1"/>
  <c r="AD35" i="1" s="1"/>
  <c r="S36" i="1"/>
  <c r="AD36" i="1" s="1"/>
  <c r="S37" i="1"/>
  <c r="AD37" i="1" s="1"/>
  <c r="S38" i="1"/>
  <c r="AD38" i="1" s="1"/>
  <c r="S39" i="1"/>
  <c r="AD39" i="1" s="1"/>
  <c r="S40" i="1"/>
  <c r="AD40" i="1" s="1"/>
  <c r="S41" i="1"/>
  <c r="AD41" i="1" s="1"/>
  <c r="S42" i="1"/>
  <c r="AD42" i="1" s="1"/>
  <c r="S43" i="1"/>
  <c r="AD43" i="1" s="1"/>
  <c r="S44" i="1"/>
  <c r="AD44" i="1" s="1"/>
  <c r="S45" i="1"/>
  <c r="AD45" i="1" s="1"/>
  <c r="S46" i="1"/>
  <c r="AD46" i="1" s="1"/>
  <c r="S47" i="1"/>
  <c r="AD47" i="1" s="1"/>
  <c r="S48" i="1"/>
  <c r="AD48" i="1" s="1"/>
  <c r="S49" i="1"/>
  <c r="AD49" i="1" s="1"/>
  <c r="S50" i="1"/>
  <c r="AD50" i="1" s="1"/>
  <c r="S51" i="1"/>
  <c r="AD51" i="1" s="1"/>
  <c r="S52" i="1"/>
  <c r="AD52" i="1" s="1"/>
  <c r="S53" i="1"/>
  <c r="AD53" i="1" s="1"/>
  <c r="S54" i="1"/>
  <c r="AD54" i="1" s="1"/>
  <c r="S55" i="1"/>
  <c r="AD55" i="1" s="1"/>
  <c r="S56" i="1"/>
  <c r="AD56" i="1" s="1"/>
  <c r="S57" i="1"/>
  <c r="AD57" i="1" s="1"/>
  <c r="S58" i="1"/>
  <c r="AD58" i="1" s="1"/>
  <c r="S59" i="1"/>
  <c r="AD59" i="1" s="1"/>
  <c r="S60" i="1"/>
  <c r="AD60" i="1" s="1"/>
  <c r="S61" i="1"/>
  <c r="AD61" i="1" s="1"/>
  <c r="S62" i="1"/>
  <c r="AD62" i="1" s="1"/>
  <c r="S63" i="1"/>
  <c r="AD63" i="1" s="1"/>
  <c r="S64" i="1"/>
  <c r="AD64" i="1" s="1"/>
  <c r="S65" i="1"/>
  <c r="AD65" i="1" s="1"/>
  <c r="S66" i="1"/>
  <c r="AD66" i="1" s="1"/>
  <c r="S67" i="1"/>
  <c r="AD67" i="1" s="1"/>
  <c r="S68" i="1"/>
  <c r="AD68" i="1" s="1"/>
  <c r="S69" i="1"/>
  <c r="AD69" i="1" s="1"/>
  <c r="S70" i="1"/>
  <c r="AD70" i="1" s="1"/>
  <c r="S71" i="1"/>
  <c r="AD71" i="1" s="1"/>
  <c r="S72" i="1"/>
  <c r="AD72" i="1" s="1"/>
  <c r="S73" i="1"/>
  <c r="AD73" i="1" s="1"/>
  <c r="S74" i="1"/>
  <c r="AD74" i="1" s="1"/>
  <c r="S75" i="1"/>
  <c r="AD75" i="1" s="1"/>
  <c r="S76" i="1"/>
  <c r="AD76" i="1" s="1"/>
  <c r="S77" i="1"/>
  <c r="AD77" i="1" s="1"/>
  <c r="S78" i="1"/>
  <c r="AD78" i="1" s="1"/>
  <c r="S79" i="1"/>
  <c r="AD79" i="1" s="1"/>
  <c r="S80" i="1"/>
  <c r="AD80" i="1" s="1"/>
  <c r="S81" i="1"/>
  <c r="AD81" i="1" s="1"/>
  <c r="S82" i="1"/>
  <c r="AD82" i="1" s="1"/>
  <c r="S83" i="1"/>
  <c r="AD83" i="1" s="1"/>
  <c r="S84" i="1"/>
  <c r="AD84" i="1" s="1"/>
  <c r="S85" i="1"/>
  <c r="AD85" i="1" s="1"/>
  <c r="S86" i="1"/>
  <c r="AD86" i="1" s="1"/>
  <c r="S87" i="1"/>
  <c r="AD87" i="1" s="1"/>
  <c r="S88" i="1"/>
  <c r="AD88" i="1" s="1"/>
  <c r="S89" i="1"/>
  <c r="AD89" i="1" s="1"/>
  <c r="S90" i="1"/>
  <c r="AD90" i="1" s="1"/>
  <c r="S91" i="1"/>
  <c r="AD91" i="1" s="1"/>
  <c r="S92" i="1"/>
  <c r="AD92" i="1" s="1"/>
  <c r="S93" i="1"/>
  <c r="AD93" i="1" s="1"/>
  <c r="S94" i="1"/>
  <c r="AD94" i="1" s="1"/>
  <c r="S96" i="1"/>
  <c r="AD96" i="1" s="1"/>
  <c r="S97" i="1"/>
  <c r="AD97" i="1" s="1"/>
  <c r="S98" i="1"/>
  <c r="AD98" i="1" s="1"/>
  <c r="S99" i="1"/>
  <c r="AD99" i="1" s="1"/>
  <c r="S100" i="1"/>
  <c r="AD100" i="1" s="1"/>
  <c r="S101" i="1"/>
  <c r="AD101" i="1" s="1"/>
  <c r="S102" i="1"/>
  <c r="AD102" i="1" s="1"/>
  <c r="S103" i="1"/>
  <c r="AD103" i="1" s="1"/>
  <c r="S104" i="1"/>
  <c r="AD104" i="1" s="1"/>
  <c r="S105" i="1"/>
  <c r="AD105" i="1" s="1"/>
  <c r="S106" i="1"/>
  <c r="AD106" i="1" s="1"/>
  <c r="S107" i="1"/>
  <c r="AD107" i="1" s="1"/>
  <c r="S108" i="1"/>
  <c r="AD108" i="1" s="1"/>
  <c r="S109" i="1"/>
  <c r="AD109" i="1" s="1"/>
  <c r="S111" i="1"/>
  <c r="AD111" i="1" s="1"/>
  <c r="S112" i="1"/>
  <c r="AD112" i="1" s="1"/>
  <c r="S113" i="1"/>
  <c r="AD113" i="1" s="1"/>
  <c r="S114" i="1"/>
  <c r="AD114" i="1" s="1"/>
  <c r="S115" i="1"/>
  <c r="AD115" i="1" s="1"/>
  <c r="S116" i="1"/>
  <c r="AD116" i="1" s="1"/>
  <c r="S117" i="1"/>
  <c r="AD117" i="1" s="1"/>
  <c r="S118" i="1"/>
  <c r="AD118" i="1" s="1"/>
  <c r="S119" i="1"/>
  <c r="AD119" i="1" s="1"/>
  <c r="S120" i="1"/>
  <c r="AD120" i="1" s="1"/>
  <c r="S121" i="1"/>
  <c r="AD121" i="1" s="1"/>
  <c r="S122" i="1"/>
  <c r="AD122" i="1" s="1"/>
  <c r="S123" i="1"/>
  <c r="AD123" i="1" s="1"/>
  <c r="S124" i="1"/>
  <c r="S125" i="1"/>
  <c r="AD125" i="1" s="1"/>
  <c r="S126" i="1"/>
  <c r="S127" i="1"/>
  <c r="AD127" i="1" s="1"/>
  <c r="S128" i="1"/>
  <c r="S129" i="1"/>
  <c r="AD129" i="1" s="1"/>
  <c r="S130" i="1"/>
  <c r="S131" i="1"/>
  <c r="AD131" i="1" s="1"/>
  <c r="S132" i="1"/>
  <c r="S133" i="1"/>
  <c r="AD133" i="1" s="1"/>
  <c r="S134" i="1"/>
  <c r="N97" i="1" l="1"/>
  <c r="AC97" i="1" s="1"/>
  <c r="N94" i="1"/>
  <c r="AC94" i="1" s="1"/>
  <c r="N154" i="1"/>
  <c r="AC154" i="1" s="1"/>
  <c r="N52" i="1"/>
  <c r="AC52" i="1" s="1"/>
  <c r="N6" i="1"/>
  <c r="AC6" i="1" s="1"/>
  <c r="N32" i="1"/>
  <c r="AC32" i="1" s="1"/>
  <c r="N7" i="1"/>
  <c r="AC7" i="1" s="1"/>
  <c r="N112" i="1"/>
  <c r="AC112" i="1" s="1"/>
  <c r="N95" i="1"/>
  <c r="AC95" i="1" s="1"/>
  <c r="N101" i="1"/>
  <c r="AC101" i="1" s="1"/>
  <c r="N158" i="1"/>
  <c r="AC158" i="1" s="1"/>
  <c r="N23" i="1"/>
  <c r="AC23" i="1" s="1"/>
  <c r="N104" i="1"/>
  <c r="AC104" i="1" s="1"/>
  <c r="N59" i="1"/>
  <c r="AC59" i="1" s="1"/>
  <c r="N140" i="1"/>
  <c r="AC140" i="1" s="1"/>
  <c r="AC160" i="1"/>
  <c r="L160" i="1"/>
  <c r="N42" i="1"/>
  <c r="AC42" i="1" s="1"/>
  <c r="N82" i="1"/>
  <c r="AC82" i="1" s="1"/>
  <c r="N16" i="1"/>
  <c r="AC16" i="1" s="1"/>
  <c r="N45" i="1"/>
  <c r="AC45" i="1" s="1"/>
  <c r="N11" i="1"/>
  <c r="AC11" i="1" s="1"/>
  <c r="N83" i="1"/>
  <c r="AC83" i="1" s="1"/>
  <c r="N87" i="1"/>
  <c r="AC87" i="1" s="1"/>
  <c r="N15" i="1"/>
  <c r="AC15" i="1" s="1"/>
  <c r="N138" i="1"/>
  <c r="AC138" i="1" s="1"/>
  <c r="N148" i="1"/>
  <c r="AC148" i="1" s="1"/>
  <c r="N98" i="1"/>
  <c r="AC98" i="1" s="1"/>
  <c r="N103" i="1"/>
  <c r="AC103" i="1" s="1"/>
  <c r="N57" i="1"/>
  <c r="AC57" i="1" s="1"/>
  <c r="N135" i="1"/>
  <c r="AC135" i="1" s="1"/>
  <c r="N146" i="1"/>
  <c r="AC146" i="1" s="1"/>
  <c r="N111" i="1"/>
  <c r="AC111" i="1" s="1"/>
  <c r="N105" i="1"/>
  <c r="AC105" i="1" s="1"/>
  <c r="N123" i="1"/>
  <c r="AC123" i="1" s="1"/>
  <c r="N67" i="1"/>
  <c r="AC67" i="1" s="1"/>
  <c r="N128" i="1"/>
  <c r="AC128" i="1" s="1"/>
  <c r="N161" i="1"/>
  <c r="L161" i="1" s="1"/>
  <c r="N4" i="1"/>
  <c r="AC4" i="1" s="1"/>
  <c r="N122" i="1"/>
  <c r="AC122" i="1" s="1"/>
  <c r="N86" i="1"/>
  <c r="AC86" i="1" s="1"/>
  <c r="N110" i="1"/>
  <c r="AC110" i="1" s="1"/>
  <c r="N21" i="1"/>
  <c r="AC21" i="1" s="1"/>
  <c r="L149" i="1"/>
  <c r="N93" i="1"/>
  <c r="AC93" i="1" s="1"/>
  <c r="N3" i="1"/>
  <c r="AC3" i="1" s="1"/>
  <c r="N69" i="1"/>
  <c r="AC69" i="1" s="1"/>
  <c r="N80" i="1"/>
  <c r="AC80" i="1" s="1"/>
  <c r="N18" i="1"/>
  <c r="AC18" i="1" s="1"/>
  <c r="N144" i="1"/>
  <c r="AC144" i="1" s="1"/>
  <c r="N19" i="1"/>
  <c r="AC19" i="1" s="1"/>
  <c r="N5" i="1"/>
  <c r="AC5" i="1" s="1"/>
  <c r="N77" i="1"/>
  <c r="AC77" i="1" s="1"/>
  <c r="L162" i="1"/>
  <c r="N99" i="1"/>
  <c r="AC99" i="1" s="1"/>
  <c r="N126" i="1"/>
  <c r="AC126" i="1" s="1"/>
  <c r="N36" i="1"/>
  <c r="AC36" i="1" s="1"/>
  <c r="N119" i="1"/>
  <c r="AC119" i="1" s="1"/>
  <c r="G179" i="1"/>
  <c r="N50" i="1"/>
  <c r="AC50" i="1" s="1"/>
  <c r="L157" i="1"/>
  <c r="N8" i="1"/>
  <c r="AC8" i="1" s="1"/>
  <c r="F179" i="1"/>
  <c r="AC150" i="1"/>
  <c r="L150" i="1"/>
  <c r="L159" i="1"/>
  <c r="N33" i="1"/>
  <c r="AC33" i="1" s="1"/>
  <c r="N136" i="1"/>
  <c r="AC136" i="1" s="1"/>
  <c r="AD128" i="1"/>
  <c r="AD132" i="1"/>
  <c r="AD124" i="1"/>
  <c r="AD134" i="1"/>
  <c r="AD126" i="1"/>
  <c r="AD130" i="1"/>
  <c r="W133" i="1"/>
  <c r="X133" i="1" s="1"/>
  <c r="W129" i="1"/>
  <c r="X129" i="1" s="1"/>
  <c r="W125" i="1"/>
  <c r="X125" i="1" s="1"/>
  <c r="L152" i="1"/>
  <c r="L156" i="1"/>
  <c r="L153" i="1"/>
  <c r="L155" i="1"/>
  <c r="L151" i="1"/>
  <c r="W134" i="1"/>
  <c r="X134" i="1" s="1"/>
  <c r="W130" i="1"/>
  <c r="X130" i="1" s="1"/>
  <c r="W126" i="1"/>
  <c r="X126" i="1" s="1"/>
  <c r="S179" i="1"/>
  <c r="W123" i="1"/>
  <c r="X123" i="1" s="1"/>
  <c r="W127" i="1"/>
  <c r="X127" i="1" s="1"/>
  <c r="W131" i="1"/>
  <c r="X131" i="1" s="1"/>
  <c r="W132" i="1"/>
  <c r="X132" i="1" s="1"/>
  <c r="Y132" i="1"/>
  <c r="Z132" i="1" s="1"/>
  <c r="Y124" i="1"/>
  <c r="Z124" i="1" s="1"/>
  <c r="W124" i="1"/>
  <c r="X124" i="1" s="1"/>
  <c r="Y131" i="1"/>
  <c r="Z131" i="1" s="1"/>
  <c r="Y127" i="1"/>
  <c r="Z127" i="1" s="1"/>
  <c r="Y123" i="1"/>
  <c r="Z123" i="1" s="1"/>
  <c r="Y134" i="1"/>
  <c r="Z134" i="1" s="1"/>
  <c r="Y130" i="1"/>
  <c r="Z130" i="1" s="1"/>
  <c r="Y126" i="1"/>
  <c r="Z126" i="1" s="1"/>
  <c r="Y128" i="1"/>
  <c r="Z128" i="1" s="1"/>
  <c r="W128" i="1"/>
  <c r="X128" i="1" s="1"/>
  <c r="Y133" i="1"/>
  <c r="Z133" i="1" s="1"/>
  <c r="Y129" i="1"/>
  <c r="Z129" i="1" s="1"/>
  <c r="Y125" i="1"/>
  <c r="Z125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2" i="1"/>
  <c r="J179" i="1" l="1"/>
  <c r="L154" i="1"/>
  <c r="L179" i="1" s="1"/>
  <c r="AC161" i="1"/>
  <c r="L158" i="1"/>
  <c r="N17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O48" i="1"/>
  <c r="Q48" i="1" s="1"/>
  <c r="O49" i="1"/>
  <c r="Q49" i="1" s="1"/>
  <c r="O50" i="1"/>
  <c r="Q50" i="1" s="1"/>
  <c r="O51" i="1"/>
  <c r="Q51" i="1" s="1"/>
  <c r="O52" i="1"/>
  <c r="Q52" i="1" s="1"/>
  <c r="O53" i="1"/>
  <c r="Q53" i="1" s="1"/>
  <c r="O54" i="1"/>
  <c r="Q54" i="1" s="1"/>
  <c r="O55" i="1"/>
  <c r="Q55" i="1" s="1"/>
  <c r="O56" i="1"/>
  <c r="Q56" i="1" s="1"/>
  <c r="O57" i="1"/>
  <c r="Q57" i="1" s="1"/>
  <c r="O58" i="1"/>
  <c r="Q58" i="1" s="1"/>
  <c r="O59" i="1"/>
  <c r="Q59" i="1" s="1"/>
  <c r="O60" i="1"/>
  <c r="Q60" i="1" s="1"/>
  <c r="O61" i="1"/>
  <c r="Q61" i="1" s="1"/>
  <c r="O62" i="1"/>
  <c r="Q62" i="1" s="1"/>
  <c r="O63" i="1"/>
  <c r="Q63" i="1" s="1"/>
  <c r="O64" i="1"/>
  <c r="Q64" i="1" s="1"/>
  <c r="O65" i="1"/>
  <c r="Q65" i="1" s="1"/>
  <c r="O66" i="1"/>
  <c r="Q66" i="1" s="1"/>
  <c r="O67" i="1"/>
  <c r="Q67" i="1" s="1"/>
  <c r="O68" i="1"/>
  <c r="Q68" i="1" s="1"/>
  <c r="O69" i="1"/>
  <c r="Q69" i="1" s="1"/>
  <c r="O70" i="1"/>
  <c r="Q70" i="1" s="1"/>
  <c r="O71" i="1"/>
  <c r="Q71" i="1" s="1"/>
  <c r="O72" i="1"/>
  <c r="Q72" i="1" s="1"/>
  <c r="O73" i="1"/>
  <c r="Q73" i="1" s="1"/>
  <c r="O74" i="1"/>
  <c r="Q74" i="1" s="1"/>
  <c r="O75" i="1"/>
  <c r="Q75" i="1" s="1"/>
  <c r="O76" i="1"/>
  <c r="Q76" i="1" s="1"/>
  <c r="O77" i="1"/>
  <c r="Q77" i="1" s="1"/>
  <c r="O78" i="1"/>
  <c r="Q78" i="1" s="1"/>
  <c r="O79" i="1"/>
  <c r="Q79" i="1" s="1"/>
  <c r="O80" i="1"/>
  <c r="Q80" i="1" s="1"/>
  <c r="O81" i="1"/>
  <c r="Q81" i="1" s="1"/>
  <c r="O82" i="1"/>
  <c r="Q82" i="1" s="1"/>
  <c r="O83" i="1"/>
  <c r="Q83" i="1" s="1"/>
  <c r="O84" i="1"/>
  <c r="Q84" i="1" s="1"/>
  <c r="O85" i="1"/>
  <c r="Q85" i="1" s="1"/>
  <c r="O86" i="1"/>
  <c r="Q86" i="1" s="1"/>
  <c r="O87" i="1"/>
  <c r="Q87" i="1" s="1"/>
  <c r="O88" i="1"/>
  <c r="Q88" i="1" s="1"/>
  <c r="O89" i="1"/>
  <c r="Q89" i="1" s="1"/>
  <c r="O90" i="1"/>
  <c r="Q90" i="1" s="1"/>
  <c r="O91" i="1"/>
  <c r="Q91" i="1" s="1"/>
  <c r="O92" i="1"/>
  <c r="Q92" i="1" s="1"/>
  <c r="O93" i="1"/>
  <c r="Q93" i="1" s="1"/>
  <c r="O94" i="1"/>
  <c r="Q94" i="1" s="1"/>
  <c r="O95" i="1"/>
  <c r="Q95" i="1" s="1"/>
  <c r="O96" i="1"/>
  <c r="Q96" i="1" s="1"/>
  <c r="O97" i="1"/>
  <c r="Q97" i="1" s="1"/>
  <c r="O98" i="1"/>
  <c r="Q98" i="1" s="1"/>
  <c r="O99" i="1"/>
  <c r="Q99" i="1" s="1"/>
  <c r="O100" i="1"/>
  <c r="Q100" i="1" s="1"/>
  <c r="O101" i="1"/>
  <c r="Q101" i="1" s="1"/>
  <c r="O102" i="1"/>
  <c r="Q102" i="1" s="1"/>
  <c r="O103" i="1"/>
  <c r="Q103" i="1" s="1"/>
  <c r="O104" i="1"/>
  <c r="Q104" i="1" s="1"/>
  <c r="O105" i="1"/>
  <c r="Q105" i="1" s="1"/>
  <c r="O106" i="1"/>
  <c r="Q106" i="1" s="1"/>
  <c r="O107" i="1"/>
  <c r="Q107" i="1" s="1"/>
  <c r="O108" i="1"/>
  <c r="Q108" i="1" s="1"/>
  <c r="O109" i="1"/>
  <c r="Q109" i="1" s="1"/>
  <c r="O110" i="1"/>
  <c r="Q110" i="1" s="1"/>
  <c r="O111" i="1"/>
  <c r="Q111" i="1" s="1"/>
  <c r="O112" i="1"/>
  <c r="Q112" i="1" s="1"/>
  <c r="O113" i="1"/>
  <c r="Q113" i="1" s="1"/>
  <c r="O114" i="1"/>
  <c r="Q114" i="1" s="1"/>
  <c r="O115" i="1"/>
  <c r="Q115" i="1" s="1"/>
  <c r="O116" i="1"/>
  <c r="Q116" i="1" s="1"/>
  <c r="O117" i="1"/>
  <c r="Q117" i="1" s="1"/>
  <c r="O118" i="1"/>
  <c r="Q118" i="1" s="1"/>
  <c r="O119" i="1"/>
  <c r="Q119" i="1" s="1"/>
  <c r="O120" i="1"/>
  <c r="Q120" i="1" s="1"/>
  <c r="O121" i="1"/>
  <c r="Q121" i="1" s="1"/>
  <c r="O122" i="1"/>
  <c r="Q122" i="1" s="1"/>
  <c r="O2" i="1"/>
  <c r="AB164" i="1" l="1"/>
  <c r="AB168" i="1"/>
  <c r="AB172" i="1"/>
  <c r="AB176" i="1"/>
  <c r="AB165" i="1"/>
  <c r="AB173" i="1"/>
  <c r="AB175" i="1"/>
  <c r="AB169" i="1"/>
  <c r="AB177" i="1"/>
  <c r="AB171" i="1"/>
  <c r="AB167" i="1"/>
  <c r="AB170" i="1"/>
  <c r="AB178" i="1"/>
  <c r="AB174" i="1"/>
  <c r="AB166" i="1"/>
  <c r="AB95" i="1"/>
  <c r="AB163" i="1"/>
  <c r="AB101" i="1"/>
  <c r="AB139" i="1"/>
  <c r="AB29" i="1"/>
  <c r="AB110" i="1"/>
  <c r="AB55" i="1"/>
  <c r="AB38" i="1"/>
  <c r="AB107" i="1"/>
  <c r="AB121" i="1"/>
  <c r="AB6" i="1"/>
  <c r="AB20" i="1"/>
  <c r="AB98" i="1"/>
  <c r="AB133" i="1"/>
  <c r="AB80" i="1"/>
  <c r="AB152" i="1"/>
  <c r="AB97" i="1"/>
  <c r="AB82" i="1"/>
  <c r="AB151" i="1"/>
  <c r="AB125" i="1"/>
  <c r="AB158" i="1"/>
  <c r="AB30" i="1"/>
  <c r="AB53" i="1"/>
  <c r="AB115" i="1"/>
  <c r="AB129" i="1"/>
  <c r="AB72" i="1"/>
  <c r="AB18" i="1"/>
  <c r="AB114" i="1"/>
  <c r="AB61" i="1"/>
  <c r="AB81" i="1"/>
  <c r="AB105" i="1"/>
  <c r="AB62" i="1"/>
  <c r="AB75" i="1"/>
  <c r="AB33" i="1"/>
  <c r="AB155" i="1"/>
  <c r="AB138" i="1"/>
  <c r="AB144" i="1"/>
  <c r="AB145" i="1"/>
  <c r="AB2" i="1"/>
  <c r="AB15" i="1"/>
  <c r="AB157" i="1"/>
  <c r="AB35" i="1"/>
  <c r="AB123" i="1"/>
  <c r="AB12" i="1"/>
  <c r="AB76" i="1"/>
  <c r="AB119" i="1"/>
  <c r="AB126" i="1"/>
  <c r="AB74" i="1"/>
  <c r="AB153" i="1"/>
  <c r="AB16" i="1"/>
  <c r="AB23" i="1"/>
  <c r="AB79" i="1"/>
  <c r="AB27" i="1"/>
  <c r="AB78" i="1"/>
  <c r="AB69" i="1"/>
  <c r="AB92" i="1"/>
  <c r="AB140" i="1"/>
  <c r="AB59" i="1"/>
  <c r="AB127" i="1"/>
  <c r="AB148" i="1"/>
  <c r="AB64" i="1"/>
  <c r="AB17" i="1"/>
  <c r="AB108" i="1"/>
  <c r="AB70" i="1"/>
  <c r="AB31" i="1"/>
  <c r="AB124" i="1"/>
  <c r="AB63" i="1"/>
  <c r="AB71" i="1"/>
  <c r="AB52" i="1"/>
  <c r="AB4" i="1"/>
  <c r="AB90" i="1"/>
  <c r="AB156" i="1"/>
  <c r="AB116" i="1"/>
  <c r="AB117" i="1"/>
  <c r="AB77" i="1"/>
  <c r="AB85" i="1"/>
  <c r="AB67" i="1"/>
  <c r="AB160" i="1"/>
  <c r="AB24" i="1"/>
  <c r="AB93" i="1"/>
  <c r="AB130" i="1"/>
  <c r="AB34" i="1"/>
  <c r="AB118" i="1"/>
  <c r="AB47" i="1"/>
  <c r="AB91" i="1"/>
  <c r="AB137" i="1"/>
  <c r="AB42" i="1"/>
  <c r="AB21" i="1"/>
  <c r="AB87" i="1"/>
  <c r="AB149" i="1"/>
  <c r="AB48" i="1"/>
  <c r="AB142" i="1"/>
  <c r="AB32" i="1"/>
  <c r="AB134" i="1"/>
  <c r="AB150" i="1"/>
  <c r="AB37" i="1"/>
  <c r="AB102" i="1"/>
  <c r="AB103" i="1"/>
  <c r="AB65" i="1"/>
  <c r="AB99" i="1"/>
  <c r="AB154" i="1"/>
  <c r="AB147" i="1"/>
  <c r="AB7" i="1"/>
  <c r="AB51" i="1"/>
  <c r="AB41" i="1"/>
  <c r="AB131" i="1"/>
  <c r="AB86" i="1"/>
  <c r="AB135" i="1"/>
  <c r="AB100" i="1"/>
  <c r="AB112" i="1"/>
  <c r="AB96" i="1"/>
  <c r="AB49" i="1"/>
  <c r="AB109" i="1"/>
  <c r="AB128" i="1"/>
  <c r="AB40" i="1"/>
  <c r="AB9" i="1"/>
  <c r="AB10" i="1"/>
  <c r="AB36" i="1"/>
  <c r="AB88" i="1"/>
  <c r="AB56" i="1"/>
  <c r="AB58" i="1"/>
  <c r="AB14" i="1"/>
  <c r="AB143" i="1"/>
  <c r="AB28" i="1"/>
  <c r="AB50" i="1"/>
  <c r="AB60" i="1"/>
  <c r="AB94" i="1"/>
  <c r="AB26" i="1"/>
  <c r="AB73" i="1"/>
  <c r="AB13" i="1"/>
  <c r="AB11" i="1"/>
  <c r="AB44" i="1"/>
  <c r="AB89" i="1"/>
  <c r="AB43" i="1"/>
  <c r="AB84" i="1"/>
  <c r="AB46" i="1"/>
  <c r="AB106" i="1"/>
  <c r="AB162" i="1"/>
  <c r="AB68" i="1"/>
  <c r="AB57" i="1"/>
  <c r="AB132" i="1"/>
  <c r="AB8" i="1"/>
  <c r="AB54" i="1"/>
  <c r="AB104" i="1"/>
  <c r="AB83" i="1"/>
  <c r="AB39" i="1"/>
  <c r="AB22" i="1"/>
  <c r="AB25" i="1"/>
  <c r="AB113" i="1"/>
  <c r="AB111" i="1"/>
  <c r="AB19" i="1"/>
  <c r="AB66" i="1"/>
  <c r="AB159" i="1"/>
  <c r="AB161" i="1"/>
  <c r="AB146" i="1"/>
  <c r="AB136" i="1"/>
  <c r="AB122" i="1"/>
  <c r="AB141" i="1"/>
  <c r="AB120" i="1"/>
  <c r="AB5" i="1"/>
  <c r="AB45" i="1"/>
  <c r="AB3" i="1"/>
  <c r="Q179" i="1"/>
  <c r="O179" i="1"/>
  <c r="Y117" i="1"/>
  <c r="Z117" i="1" s="1"/>
  <c r="W117" i="1"/>
  <c r="X117" i="1" s="1"/>
  <c r="Y105" i="1"/>
  <c r="Z105" i="1" s="1"/>
  <c r="W105" i="1"/>
  <c r="X105" i="1" s="1"/>
  <c r="Y93" i="1"/>
  <c r="Z93" i="1" s="1"/>
  <c r="W93" i="1"/>
  <c r="X93" i="1" s="1"/>
  <c r="Y81" i="1"/>
  <c r="Z81" i="1" s="1"/>
  <c r="W81" i="1"/>
  <c r="X81" i="1" s="1"/>
  <c r="Y65" i="1"/>
  <c r="Z65" i="1" s="1"/>
  <c r="W65" i="1"/>
  <c r="X65" i="1" s="1"/>
  <c r="Y57" i="1"/>
  <c r="Z57" i="1" s="1"/>
  <c r="W57" i="1"/>
  <c r="X57" i="1" s="1"/>
  <c r="Y45" i="1"/>
  <c r="Z45" i="1" s="1"/>
  <c r="W45" i="1"/>
  <c r="X45" i="1" s="1"/>
  <c r="Y37" i="1"/>
  <c r="Z37" i="1" s="1"/>
  <c r="W37" i="1"/>
  <c r="X37" i="1" s="1"/>
  <c r="Y29" i="1"/>
  <c r="Z29" i="1" s="1"/>
  <c r="W29" i="1"/>
  <c r="X29" i="1" s="1"/>
  <c r="Y21" i="1"/>
  <c r="Z21" i="1" s="1"/>
  <c r="W21" i="1"/>
  <c r="X21" i="1" s="1"/>
  <c r="Y5" i="1"/>
  <c r="Z5" i="1" s="1"/>
  <c r="W5" i="1"/>
  <c r="X5" i="1" s="1"/>
  <c r="Y120" i="1"/>
  <c r="Z120" i="1" s="1"/>
  <c r="W120" i="1"/>
  <c r="X120" i="1" s="1"/>
  <c r="Y116" i="1"/>
  <c r="Z116" i="1" s="1"/>
  <c r="W116" i="1"/>
  <c r="X116" i="1" s="1"/>
  <c r="Y112" i="1"/>
  <c r="Z112" i="1" s="1"/>
  <c r="W112" i="1"/>
  <c r="X112" i="1" s="1"/>
  <c r="Y108" i="1"/>
  <c r="Z108" i="1" s="1"/>
  <c r="W108" i="1"/>
  <c r="X108" i="1" s="1"/>
  <c r="Y104" i="1"/>
  <c r="Z104" i="1" s="1"/>
  <c r="W104" i="1"/>
  <c r="X104" i="1" s="1"/>
  <c r="Y100" i="1"/>
  <c r="Z100" i="1" s="1"/>
  <c r="W100" i="1"/>
  <c r="X100" i="1" s="1"/>
  <c r="Y96" i="1"/>
  <c r="Z96" i="1" s="1"/>
  <c r="W96" i="1"/>
  <c r="X96" i="1" s="1"/>
  <c r="Y92" i="1"/>
  <c r="Z92" i="1" s="1"/>
  <c r="W92" i="1"/>
  <c r="X92" i="1" s="1"/>
  <c r="Y88" i="1"/>
  <c r="Z88" i="1" s="1"/>
  <c r="W88" i="1"/>
  <c r="X88" i="1" s="1"/>
  <c r="Y84" i="1"/>
  <c r="Z84" i="1" s="1"/>
  <c r="W84" i="1"/>
  <c r="X84" i="1" s="1"/>
  <c r="Y80" i="1"/>
  <c r="Z80" i="1" s="1"/>
  <c r="W80" i="1"/>
  <c r="X80" i="1" s="1"/>
  <c r="Y76" i="1"/>
  <c r="Z76" i="1" s="1"/>
  <c r="W76" i="1"/>
  <c r="X76" i="1" s="1"/>
  <c r="Y72" i="1"/>
  <c r="Z72" i="1" s="1"/>
  <c r="W72" i="1"/>
  <c r="X72" i="1" s="1"/>
  <c r="Y68" i="1"/>
  <c r="Z68" i="1" s="1"/>
  <c r="W68" i="1"/>
  <c r="X68" i="1" s="1"/>
  <c r="Y64" i="1"/>
  <c r="Z64" i="1" s="1"/>
  <c r="W64" i="1"/>
  <c r="X64" i="1" s="1"/>
  <c r="Y60" i="1"/>
  <c r="Z60" i="1" s="1"/>
  <c r="W60" i="1"/>
  <c r="X60" i="1" s="1"/>
  <c r="Y56" i="1"/>
  <c r="Z56" i="1" s="1"/>
  <c r="W56" i="1"/>
  <c r="X56" i="1" s="1"/>
  <c r="Y52" i="1"/>
  <c r="Z52" i="1" s="1"/>
  <c r="W52" i="1"/>
  <c r="X52" i="1" s="1"/>
  <c r="Y48" i="1"/>
  <c r="Z48" i="1" s="1"/>
  <c r="W48" i="1"/>
  <c r="X48" i="1" s="1"/>
  <c r="Y44" i="1"/>
  <c r="Z44" i="1" s="1"/>
  <c r="W44" i="1"/>
  <c r="X44" i="1" s="1"/>
  <c r="Y40" i="1"/>
  <c r="Z40" i="1" s="1"/>
  <c r="W40" i="1"/>
  <c r="X40" i="1" s="1"/>
  <c r="Y36" i="1"/>
  <c r="Z36" i="1" s="1"/>
  <c r="W36" i="1"/>
  <c r="X36" i="1" s="1"/>
  <c r="Y32" i="1"/>
  <c r="Z32" i="1" s="1"/>
  <c r="W32" i="1"/>
  <c r="X32" i="1" s="1"/>
  <c r="Y28" i="1"/>
  <c r="Z28" i="1" s="1"/>
  <c r="W28" i="1"/>
  <c r="X28" i="1" s="1"/>
  <c r="Y24" i="1"/>
  <c r="Z24" i="1" s="1"/>
  <c r="W24" i="1"/>
  <c r="X24" i="1" s="1"/>
  <c r="Y20" i="1"/>
  <c r="Z20" i="1" s="1"/>
  <c r="W20" i="1"/>
  <c r="X20" i="1" s="1"/>
  <c r="Y16" i="1"/>
  <c r="Z16" i="1" s="1"/>
  <c r="W16" i="1"/>
  <c r="X16" i="1" s="1"/>
  <c r="Y12" i="1"/>
  <c r="Z12" i="1" s="1"/>
  <c r="W12" i="1"/>
  <c r="X12" i="1" s="1"/>
  <c r="Y8" i="1"/>
  <c r="Z8" i="1" s="1"/>
  <c r="W8" i="1"/>
  <c r="X8" i="1" s="1"/>
  <c r="Y4" i="1"/>
  <c r="Z4" i="1" s="1"/>
  <c r="W4" i="1"/>
  <c r="X4" i="1" s="1"/>
  <c r="Y113" i="1"/>
  <c r="Z113" i="1" s="1"/>
  <c r="W113" i="1"/>
  <c r="X113" i="1" s="1"/>
  <c r="Y101" i="1"/>
  <c r="Z101" i="1" s="1"/>
  <c r="W101" i="1"/>
  <c r="X101" i="1" s="1"/>
  <c r="Y89" i="1"/>
  <c r="Z89" i="1" s="1"/>
  <c r="W89" i="1"/>
  <c r="X89" i="1" s="1"/>
  <c r="Y73" i="1"/>
  <c r="Z73" i="1" s="1"/>
  <c r="W73" i="1"/>
  <c r="X73" i="1" s="1"/>
  <c r="Y53" i="1"/>
  <c r="Z53" i="1" s="1"/>
  <c r="W53" i="1"/>
  <c r="X53" i="1" s="1"/>
  <c r="Y13" i="1"/>
  <c r="Z13" i="1" s="1"/>
  <c r="W13" i="1"/>
  <c r="X13" i="1" s="1"/>
  <c r="Y2" i="1"/>
  <c r="Z2" i="1" s="1"/>
  <c r="W2" i="1"/>
  <c r="X2" i="1" s="1"/>
  <c r="Y95" i="1"/>
  <c r="Z95" i="1" s="1"/>
  <c r="W95" i="1"/>
  <c r="X95" i="1" s="1"/>
  <c r="Y79" i="1"/>
  <c r="Z79" i="1" s="1"/>
  <c r="W79" i="1"/>
  <c r="X79" i="1" s="1"/>
  <c r="Y71" i="1"/>
  <c r="Z71" i="1" s="1"/>
  <c r="W71" i="1"/>
  <c r="X71" i="1" s="1"/>
  <c r="Y63" i="1"/>
  <c r="Z63" i="1" s="1"/>
  <c r="W63" i="1"/>
  <c r="X63" i="1" s="1"/>
  <c r="Y59" i="1"/>
  <c r="Z59" i="1" s="1"/>
  <c r="W59" i="1"/>
  <c r="X59" i="1" s="1"/>
  <c r="Y55" i="1"/>
  <c r="Z55" i="1" s="1"/>
  <c r="W55" i="1"/>
  <c r="X55" i="1" s="1"/>
  <c r="Y51" i="1"/>
  <c r="Z51" i="1" s="1"/>
  <c r="W51" i="1"/>
  <c r="X51" i="1" s="1"/>
  <c r="Y47" i="1"/>
  <c r="Z47" i="1" s="1"/>
  <c r="W47" i="1"/>
  <c r="X47" i="1" s="1"/>
  <c r="Y43" i="1"/>
  <c r="Z43" i="1" s="1"/>
  <c r="W43" i="1"/>
  <c r="X43" i="1" s="1"/>
  <c r="Y39" i="1"/>
  <c r="Z39" i="1" s="1"/>
  <c r="W39" i="1"/>
  <c r="X39" i="1" s="1"/>
  <c r="Y35" i="1"/>
  <c r="Z35" i="1" s="1"/>
  <c r="W35" i="1"/>
  <c r="X35" i="1" s="1"/>
  <c r="Y31" i="1"/>
  <c r="Z31" i="1" s="1"/>
  <c r="W31" i="1"/>
  <c r="X31" i="1" s="1"/>
  <c r="Y27" i="1"/>
  <c r="Z27" i="1" s="1"/>
  <c r="W27" i="1"/>
  <c r="X27" i="1" s="1"/>
  <c r="Y23" i="1"/>
  <c r="Z23" i="1" s="1"/>
  <c r="W23" i="1"/>
  <c r="X23" i="1" s="1"/>
  <c r="Y19" i="1"/>
  <c r="Z19" i="1" s="1"/>
  <c r="W19" i="1"/>
  <c r="X19" i="1" s="1"/>
  <c r="Y15" i="1"/>
  <c r="Z15" i="1" s="1"/>
  <c r="W15" i="1"/>
  <c r="X15" i="1" s="1"/>
  <c r="Y11" i="1"/>
  <c r="Z11" i="1" s="1"/>
  <c r="W11" i="1"/>
  <c r="X11" i="1" s="1"/>
  <c r="Y7" i="1"/>
  <c r="Z7" i="1" s="1"/>
  <c r="W7" i="1"/>
  <c r="X7" i="1" s="1"/>
  <c r="Y3" i="1"/>
  <c r="Z3" i="1" s="1"/>
  <c r="W3" i="1"/>
  <c r="X3" i="1" s="1"/>
  <c r="Y121" i="1"/>
  <c r="Z121" i="1" s="1"/>
  <c r="W121" i="1"/>
  <c r="X121" i="1" s="1"/>
  <c r="Y109" i="1"/>
  <c r="Z109" i="1" s="1"/>
  <c r="W109" i="1"/>
  <c r="X109" i="1" s="1"/>
  <c r="Y97" i="1"/>
  <c r="Z97" i="1" s="1"/>
  <c r="W97" i="1"/>
  <c r="X97" i="1" s="1"/>
  <c r="Y85" i="1"/>
  <c r="Z85" i="1" s="1"/>
  <c r="W85" i="1"/>
  <c r="X85" i="1" s="1"/>
  <c r="Y77" i="1"/>
  <c r="Z77" i="1" s="1"/>
  <c r="W77" i="1"/>
  <c r="X77" i="1" s="1"/>
  <c r="Y69" i="1"/>
  <c r="Z69" i="1" s="1"/>
  <c r="W69" i="1"/>
  <c r="X69" i="1" s="1"/>
  <c r="Y61" i="1"/>
  <c r="Z61" i="1" s="1"/>
  <c r="W61" i="1"/>
  <c r="X61" i="1" s="1"/>
  <c r="Y49" i="1"/>
  <c r="Z49" i="1" s="1"/>
  <c r="W49" i="1"/>
  <c r="X49" i="1" s="1"/>
  <c r="Y41" i="1"/>
  <c r="Z41" i="1" s="1"/>
  <c r="W41" i="1"/>
  <c r="X41" i="1" s="1"/>
  <c r="Y33" i="1"/>
  <c r="Z33" i="1" s="1"/>
  <c r="W33" i="1"/>
  <c r="X33" i="1" s="1"/>
  <c r="Y25" i="1"/>
  <c r="Z25" i="1" s="1"/>
  <c r="W25" i="1"/>
  <c r="X25" i="1" s="1"/>
  <c r="Y17" i="1"/>
  <c r="Z17" i="1" s="1"/>
  <c r="W17" i="1"/>
  <c r="X17" i="1" s="1"/>
  <c r="Y9" i="1"/>
  <c r="Z9" i="1" s="1"/>
  <c r="W9" i="1"/>
  <c r="X9" i="1" s="1"/>
  <c r="Y119" i="1"/>
  <c r="Z119" i="1" s="1"/>
  <c r="W119" i="1"/>
  <c r="X119" i="1" s="1"/>
  <c r="Y115" i="1"/>
  <c r="Z115" i="1" s="1"/>
  <c r="W115" i="1"/>
  <c r="X115" i="1" s="1"/>
  <c r="Y111" i="1"/>
  <c r="Z111" i="1" s="1"/>
  <c r="W111" i="1"/>
  <c r="X111" i="1" s="1"/>
  <c r="Y107" i="1"/>
  <c r="Z107" i="1" s="1"/>
  <c r="W107" i="1"/>
  <c r="X107" i="1" s="1"/>
  <c r="Y103" i="1"/>
  <c r="Z103" i="1" s="1"/>
  <c r="W103" i="1"/>
  <c r="X103" i="1" s="1"/>
  <c r="Y99" i="1"/>
  <c r="Z99" i="1" s="1"/>
  <c r="W99" i="1"/>
  <c r="X99" i="1" s="1"/>
  <c r="Y91" i="1"/>
  <c r="Z91" i="1" s="1"/>
  <c r="W91" i="1"/>
  <c r="X91" i="1" s="1"/>
  <c r="Y87" i="1"/>
  <c r="Z87" i="1" s="1"/>
  <c r="W87" i="1"/>
  <c r="X87" i="1" s="1"/>
  <c r="Y83" i="1"/>
  <c r="Z83" i="1" s="1"/>
  <c r="W83" i="1"/>
  <c r="X83" i="1" s="1"/>
  <c r="Y75" i="1"/>
  <c r="Z75" i="1" s="1"/>
  <c r="W75" i="1"/>
  <c r="X75" i="1" s="1"/>
  <c r="Y67" i="1"/>
  <c r="Z67" i="1" s="1"/>
  <c r="W67" i="1"/>
  <c r="X67" i="1" s="1"/>
  <c r="Y122" i="1"/>
  <c r="Z122" i="1" s="1"/>
  <c r="W122" i="1"/>
  <c r="X122" i="1" s="1"/>
  <c r="Y118" i="1"/>
  <c r="Z118" i="1" s="1"/>
  <c r="W118" i="1"/>
  <c r="X118" i="1" s="1"/>
  <c r="Y114" i="1"/>
  <c r="Z114" i="1" s="1"/>
  <c r="W114" i="1"/>
  <c r="X114" i="1" s="1"/>
  <c r="Y110" i="1"/>
  <c r="Z110" i="1" s="1"/>
  <c r="W110" i="1"/>
  <c r="X110" i="1" s="1"/>
  <c r="Y106" i="1"/>
  <c r="Z106" i="1" s="1"/>
  <c r="W106" i="1"/>
  <c r="X106" i="1" s="1"/>
  <c r="Y102" i="1"/>
  <c r="Z102" i="1" s="1"/>
  <c r="W102" i="1"/>
  <c r="X102" i="1" s="1"/>
  <c r="Y98" i="1"/>
  <c r="Z98" i="1" s="1"/>
  <c r="W98" i="1"/>
  <c r="X98" i="1" s="1"/>
  <c r="Y94" i="1"/>
  <c r="Z94" i="1" s="1"/>
  <c r="W94" i="1"/>
  <c r="X94" i="1" s="1"/>
  <c r="Y90" i="1"/>
  <c r="Z90" i="1" s="1"/>
  <c r="W90" i="1"/>
  <c r="X90" i="1" s="1"/>
  <c r="Y86" i="1"/>
  <c r="Z86" i="1" s="1"/>
  <c r="W86" i="1"/>
  <c r="X86" i="1" s="1"/>
  <c r="Y82" i="1"/>
  <c r="Z82" i="1" s="1"/>
  <c r="W82" i="1"/>
  <c r="X82" i="1" s="1"/>
  <c r="Y78" i="1"/>
  <c r="Z78" i="1" s="1"/>
  <c r="W78" i="1"/>
  <c r="X78" i="1" s="1"/>
  <c r="Y74" i="1"/>
  <c r="Z74" i="1" s="1"/>
  <c r="W74" i="1"/>
  <c r="X74" i="1" s="1"/>
  <c r="Y70" i="1"/>
  <c r="Z70" i="1" s="1"/>
  <c r="W70" i="1"/>
  <c r="X70" i="1" s="1"/>
  <c r="Y66" i="1"/>
  <c r="Z66" i="1" s="1"/>
  <c r="W66" i="1"/>
  <c r="X66" i="1" s="1"/>
  <c r="Y62" i="1"/>
  <c r="Z62" i="1" s="1"/>
  <c r="W62" i="1"/>
  <c r="X62" i="1" s="1"/>
  <c r="Y58" i="1"/>
  <c r="Z58" i="1" s="1"/>
  <c r="W58" i="1"/>
  <c r="X58" i="1" s="1"/>
  <c r="Y54" i="1"/>
  <c r="Z54" i="1" s="1"/>
  <c r="W54" i="1"/>
  <c r="X54" i="1" s="1"/>
  <c r="Y50" i="1"/>
  <c r="Z50" i="1" s="1"/>
  <c r="W50" i="1"/>
  <c r="X50" i="1" s="1"/>
  <c r="Y46" i="1"/>
  <c r="Z46" i="1" s="1"/>
  <c r="W46" i="1"/>
  <c r="X46" i="1" s="1"/>
  <c r="Y42" i="1"/>
  <c r="Z42" i="1" s="1"/>
  <c r="W42" i="1"/>
  <c r="X42" i="1" s="1"/>
  <c r="Y38" i="1"/>
  <c r="Z38" i="1" s="1"/>
  <c r="W38" i="1"/>
  <c r="X38" i="1" s="1"/>
  <c r="Y34" i="1"/>
  <c r="Z34" i="1" s="1"/>
  <c r="W34" i="1"/>
  <c r="X34" i="1" s="1"/>
  <c r="Y30" i="1"/>
  <c r="Z30" i="1" s="1"/>
  <c r="W30" i="1"/>
  <c r="X30" i="1" s="1"/>
  <c r="Y26" i="1"/>
  <c r="Z26" i="1" s="1"/>
  <c r="W26" i="1"/>
  <c r="X26" i="1" s="1"/>
  <c r="Y22" i="1"/>
  <c r="Z22" i="1" s="1"/>
  <c r="W22" i="1"/>
  <c r="X22" i="1" s="1"/>
  <c r="Y18" i="1"/>
  <c r="Z18" i="1" s="1"/>
  <c r="W18" i="1"/>
  <c r="X18" i="1" s="1"/>
  <c r="Y14" i="1"/>
  <c r="Z14" i="1" s="1"/>
  <c r="W14" i="1"/>
  <c r="X14" i="1" s="1"/>
  <c r="Y10" i="1"/>
  <c r="Z10" i="1" s="1"/>
  <c r="W10" i="1"/>
  <c r="X10" i="1" s="1"/>
  <c r="Y6" i="1"/>
  <c r="Z6" i="1" s="1"/>
  <c r="W6" i="1"/>
  <c r="X6" i="1" s="1"/>
  <c r="I2" i="2" l="1"/>
  <c r="I3" i="2" s="1"/>
  <c r="H2" i="2"/>
  <c r="H3" i="2" s="1"/>
</calcChain>
</file>

<file path=xl/sharedStrings.xml><?xml version="1.0" encoding="utf-8"?>
<sst xmlns="http://schemas.openxmlformats.org/spreadsheetml/2006/main" count="849" uniqueCount="127">
  <si>
    <t>Week</t>
  </si>
  <si>
    <t>Denver Broncos</t>
  </si>
  <si>
    <t>Carolina Panthers</t>
  </si>
  <si>
    <t>Green Bay Packers</t>
  </si>
  <si>
    <t>Jacksonville Jaguars</t>
  </si>
  <si>
    <t>Baltimore Ravens</t>
  </si>
  <si>
    <t>Buffalo Bills</t>
  </si>
  <si>
    <t>Cincinnati Bengals</t>
  </si>
  <si>
    <t>New York Jets</t>
  </si>
  <si>
    <t>Houston Texans</t>
  </si>
  <si>
    <t>Chicago Bears</t>
  </si>
  <si>
    <t>Minnesota Vikings</t>
  </si>
  <si>
    <t>Tennessee Titans</t>
  </si>
  <si>
    <t>Philadelphia Eagles</t>
  </si>
  <si>
    <t>Cleveland Browns</t>
  </si>
  <si>
    <t>Oakland Raiders</t>
  </si>
  <si>
    <t>New Orleans Saints</t>
  </si>
  <si>
    <t>Kansas City Chiefs</t>
  </si>
  <si>
    <t>San Diego Chargers</t>
  </si>
  <si>
    <t>Tampa Bay Buccaneers</t>
  </si>
  <si>
    <t>Atlanta Falcons</t>
  </si>
  <si>
    <t>Seattle Seahawks</t>
  </si>
  <si>
    <t>Miami Dolphins</t>
  </si>
  <si>
    <t>Detroit Lions</t>
  </si>
  <si>
    <t>Indianapolis Colts</t>
  </si>
  <si>
    <t>New York Giants</t>
  </si>
  <si>
    <t>Dallas Cowboys</t>
  </si>
  <si>
    <t>New England Patriots</t>
  </si>
  <si>
    <t>Arizona Cardinals</t>
  </si>
  <si>
    <t>Pittsburgh Steelers</t>
  </si>
  <si>
    <t>Washington Redskins</t>
  </si>
  <si>
    <t>San Francisco 49ers</t>
  </si>
  <si>
    <t>Los Angeles Rams</t>
  </si>
  <si>
    <t>Away Pts</t>
  </si>
  <si>
    <t>Home Pts</t>
  </si>
  <si>
    <t>Team</t>
  </si>
  <si>
    <t>Home Edge</t>
  </si>
  <si>
    <t>Total Rating</t>
  </si>
  <si>
    <t>SSE</t>
  </si>
  <si>
    <t>Home Team</t>
  </si>
  <si>
    <t>Away Team</t>
  </si>
  <si>
    <t>Total</t>
  </si>
  <si>
    <t>Home ML</t>
  </si>
  <si>
    <t>Away ML</t>
  </si>
  <si>
    <t>Total (V)</t>
  </si>
  <si>
    <t>Margin (V)</t>
  </si>
  <si>
    <t>Margin</t>
  </si>
  <si>
    <t>Margin (A)</t>
  </si>
  <si>
    <t>Open Spread</t>
  </si>
  <si>
    <t>Closing Spread</t>
  </si>
  <si>
    <t>Open ML (Home)</t>
  </si>
  <si>
    <t>Open ML (Away)</t>
  </si>
  <si>
    <t>Home</t>
  </si>
  <si>
    <t>Away</t>
  </si>
  <si>
    <t>Open ML (Away) %</t>
  </si>
  <si>
    <t>Close ML (Away) %2</t>
  </si>
  <si>
    <t>Open ML (Home) %</t>
  </si>
  <si>
    <t>Close ML (Home)</t>
  </si>
  <si>
    <t>Close ML (Home) %</t>
  </si>
  <si>
    <t>Close ML (Away)</t>
  </si>
  <si>
    <t>Bet</t>
  </si>
  <si>
    <t>Bet Amount</t>
  </si>
  <si>
    <t>Won Amount</t>
  </si>
  <si>
    <t>Straight?</t>
  </si>
  <si>
    <t>Spread?</t>
  </si>
  <si>
    <t>Win?</t>
  </si>
  <si>
    <t>ATL 0</t>
  </si>
  <si>
    <t>DAL 0</t>
  </si>
  <si>
    <t>Ney York Giants</t>
  </si>
  <si>
    <t>NYG 0</t>
  </si>
  <si>
    <t>Plys/G (O)</t>
  </si>
  <si>
    <t>Pts/P (O)</t>
  </si>
  <si>
    <t>Pts (O)</t>
  </si>
  <si>
    <t>Plays (O)</t>
  </si>
  <si>
    <t>Pts (D)</t>
  </si>
  <si>
    <t>Plays (D)</t>
  </si>
  <si>
    <t>Plays/G (D)</t>
  </si>
  <si>
    <t>Pts/P (D)</t>
  </si>
  <si>
    <t>Off Pts/g</t>
  </si>
  <si>
    <t>Def Pts/G</t>
  </si>
  <si>
    <t>Pts Diff</t>
  </si>
  <si>
    <t>DAL +3</t>
  </si>
  <si>
    <t>Kansas City Cheifs</t>
  </si>
  <si>
    <t>KC +3.5</t>
  </si>
  <si>
    <t>BAL -8</t>
  </si>
  <si>
    <t>G</t>
  </si>
  <si>
    <t>OAK -5</t>
  </si>
  <si>
    <t>To Win</t>
  </si>
  <si>
    <t>MIA 0</t>
  </si>
  <si>
    <t>NYG +1.5</t>
  </si>
  <si>
    <t>SE</t>
  </si>
  <si>
    <t>(A)</t>
  </si>
  <si>
    <t>(B)</t>
  </si>
  <si>
    <t>ERR (A)</t>
  </si>
  <si>
    <t>SQR ERR (A)</t>
  </si>
  <si>
    <t>ERR (B)</t>
  </si>
  <si>
    <t>SQR ERR (B)</t>
  </si>
  <si>
    <t>Margin (B)</t>
  </si>
  <si>
    <t>DAL -7</t>
  </si>
  <si>
    <t>EV (A)</t>
  </si>
  <si>
    <t>Real EV (A)</t>
  </si>
  <si>
    <t>Real EV (B)</t>
  </si>
  <si>
    <t>EV (B)</t>
  </si>
  <si>
    <t>Home EV</t>
  </si>
  <si>
    <t>Away EV</t>
  </si>
  <si>
    <t>Total EV</t>
  </si>
  <si>
    <t>Off Diff</t>
  </si>
  <si>
    <t>Def Diff</t>
  </si>
  <si>
    <t>Pace (H)</t>
  </si>
  <si>
    <t>Pace (A)</t>
  </si>
  <si>
    <t xml:space="preserve">Pace Score </t>
  </si>
  <si>
    <t>Division</t>
  </si>
  <si>
    <t>NFC EAST</t>
  </si>
  <si>
    <t>AFC East</t>
  </si>
  <si>
    <t>AFC West</t>
  </si>
  <si>
    <t>NFC West</t>
  </si>
  <si>
    <t>NFC South</t>
  </si>
  <si>
    <t>NFC North</t>
  </si>
  <si>
    <t>AFC North</t>
  </si>
  <si>
    <t>AFC South</t>
  </si>
  <si>
    <t>Real Total</t>
  </si>
  <si>
    <t>Total Win</t>
  </si>
  <si>
    <t>Scoring</t>
  </si>
  <si>
    <t>(A) Win</t>
  </si>
  <si>
    <t>Total Gap</t>
  </si>
  <si>
    <t>(A) Gap</t>
  </si>
  <si>
    <t>EV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</si>
</sst>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0.000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164" fontId="0" fillId="0" borderId="0" xfId="0" applyNumberFormat="1"/>
    <xf numFmtId="10" fontId="0" fillId="0" borderId="0" xfId="1" applyNumberFormat="1" applyFont="1"/>
    <xf numFmtId="2" fontId="0" fillId="0" borderId="0" xfId="0" applyNumberFormat="1"/>
    <xf numFmtId="0" fontId="0" fillId="0" borderId="0" xfId="0" applyNumberFormat="1"/>
    <xf numFmtId="10" fontId="0" fillId="0" borderId="0" xfId="0" applyNumberFormat="1"/>
    <xf numFmtId="1" fontId="0" fillId="0" borderId="0" xfId="0" applyNumberFormat="1"/>
    <xf numFmtId="44" fontId="0" fillId="0" borderId="0" xfId="43" applyFont="1"/>
    <xf numFmtId="44" fontId="0" fillId="0" borderId="0" xfId="0" applyNumberFormat="1"/>
    <xf numFmtId="0" fontId="0" fillId="0" borderId="10" xfId="0" applyBorder="1"/>
    <xf numFmtId="10" fontId="0" fillId="0" borderId="10" xfId="1" applyNumberFormat="1" applyFont="1" applyBorder="1"/>
    <xf numFmtId="10" fontId="0" fillId="0" borderId="10" xfId="0" applyNumberFormat="1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2" fontId="0" fillId="0" borderId="10" xfId="0" applyNumberFormat="1" applyBorder="1"/>
    <xf numFmtId="164" fontId="0" fillId="0" borderId="10" xfId="0" applyNumberFormat="1" applyBorder="1"/>
    <xf numFmtId="1" fontId="0" fillId="0" borderId="11" xfId="0" applyNumberFormat="1" applyBorder="1"/>
    <xf numFmtId="2" fontId="0" fillId="0" borderId="11" xfId="0" applyNumberFormat="1" applyBorder="1"/>
    <xf numFmtId="2" fontId="0" fillId="0" borderId="0" xfId="0" applyNumberFormat="1" applyBorder="1"/>
    <xf numFmtId="0" fontId="6" fillId="2" borderId="0" xfId="7"/>
    <xf numFmtId="0" fontId="6" fillId="2" borderId="11" xfId="7" applyBorder="1"/>
    <xf numFmtId="2" fontId="6" fillId="2" borderId="0" xfId="7" applyNumberFormat="1"/>
    <xf numFmtId="164" fontId="6" fillId="2" borderId="0" xfId="7" applyNumberFormat="1"/>
    <xf numFmtId="2" fontId="0" fillId="0" borderId="12" xfId="0" applyNumberFormat="1" applyBorder="1"/>
    <xf numFmtId="0" fontId="7" fillId="3" borderId="0" xfId="8"/>
    <xf numFmtId="2" fontId="7" fillId="3" borderId="0" xfId="8" applyNumberFormat="1"/>
    <xf numFmtId="0" fontId="7" fillId="3" borderId="11" xfId="8" applyBorder="1"/>
    <xf numFmtId="2" fontId="0" fillId="0" borderId="13" xfId="0" applyNumberFormat="1" applyBorder="1"/>
    <xf numFmtId="0" fontId="7" fillId="3" borderId="0" xfId="8" applyBorder="1"/>
    <xf numFmtId="1" fontId="0" fillId="0" borderId="10" xfId="0" applyNumberFormat="1" applyBorder="1"/>
    <xf numFmtId="1" fontId="6" fillId="2" borderId="0" xfId="7" applyNumberFormat="1"/>
    <xf numFmtId="1" fontId="7" fillId="3" borderId="0" xfId="8" applyNumberFormat="1"/>
    <xf numFmtId="165" fontId="0" fillId="0" borderId="0" xfId="0" applyNumberFormat="1"/>
    <xf numFmtId="165" fontId="0" fillId="0" borderId="10" xfId="0" applyNumberFormat="1" applyBorder="1"/>
    <xf numFmtId="165" fontId="6" fillId="2" borderId="0" xfId="7" applyNumberFormat="1"/>
    <xf numFmtId="165" fontId="7" fillId="3" borderId="0" xfId="8" applyNumberFormat="1"/>
    <xf numFmtId="9" fontId="0" fillId="0" borderId="0" xfId="0" applyNumberFormat="1" applyFont="1"/>
    <xf numFmtId="0" fontId="0" fillId="0" borderId="10" xfId="0" applyFont="1" applyBorder="1"/>
    <xf numFmtId="0" fontId="18" fillId="0" borderId="10" xfId="0" applyFont="1" applyBorder="1"/>
    <xf numFmtId="2" fontId="7" fillId="3" borderId="13" xfId="8" applyNumberFormat="1" applyBorder="1"/>
    <xf numFmtId="165" fontId="7" fillId="3" borderId="13" xfId="8" applyNumberFormat="1" applyBorder="1"/>
    <xf numFmtId="164" fontId="0" fillId="0" borderId="13" xfId="0" applyNumberFormat="1" applyBorder="1"/>
    <xf numFmtId="0" fontId="7" fillId="3" borderId="10" xfId="8" applyBorder="1"/>
    <xf numFmtId="1" fontId="7" fillId="3" borderId="10" xfId="8" applyNumberFormat="1" applyBorder="1"/>
    <xf numFmtId="2" fontId="7" fillId="3" borderId="10" xfId="8" applyNumberFormat="1" applyBorder="1"/>
    <xf numFmtId="0" fontId="7" fillId="3" borderId="12" xfId="8" applyBorder="1"/>
    <xf numFmtId="165" fontId="7" fillId="3" borderId="10" xfId="8" applyNumberFormat="1" applyBorder="1"/>
    <xf numFmtId="2" fontId="0" fillId="0" borderId="14" xfId="0" applyNumberFormat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43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0"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2" formatCode="0.00"/>
    </dxf>
    <dxf>
      <numFmt numFmtId="2" formatCode="0.00"/>
    </dxf>
    <dxf>
      <numFmt numFmtId="2" formatCode="0.00"/>
      <border diagonalUp="0" diagonalDown="0" outline="0">
        <left/>
        <right style="medium">
          <color indexed="64"/>
        </right>
        <top/>
        <bottom/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65" formatCode="0.0"/>
    </dxf>
    <dxf>
      <numFmt numFmtId="165" formatCode="0.0"/>
    </dxf>
    <dxf>
      <numFmt numFmtId="2" formatCode="0.00"/>
      <border diagonalUp="0" diagonalDown="0" outline="0">
        <left/>
        <right style="medium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numFmt numFmtId="2" formatCode="0.00"/>
      <border diagonalUp="0" diagonalDown="0" outline="0">
        <left style="medium">
          <color indexed="64"/>
        </left>
        <right/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  <border diagonalUp="0" diagonalDown="0" outline="0">
        <left style="medium">
          <color indexed="64"/>
        </left>
        <right/>
        <top/>
        <bottom/>
      </border>
    </dxf>
    <dxf>
      <numFmt numFmtId="2" formatCode="0.00"/>
    </dxf>
    <dxf>
      <numFmt numFmtId="2" formatCode="0.00"/>
      <border diagonalUp="0" diagonalDown="0" outline="0">
        <left/>
        <right/>
        <top/>
        <bottom/>
      </border>
    </dxf>
    <dxf>
      <numFmt numFmtId="2" formatCode="0.00"/>
    </dxf>
    <dxf>
      <numFmt numFmtId="2" formatCode="0.00"/>
    </dxf>
    <dxf>
      <numFmt numFmtId="1" formatCode="0"/>
    </dxf>
    <dxf>
      <numFmt numFmtId="1" formatCode="0"/>
      <border diagonalUp="0" diagonalDown="0" outline="0">
        <left style="medium">
          <color indexed="64"/>
        </left>
        <right/>
        <top/>
        <bottom/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border diagonalUp="0" diagonalDown="0" outline="0">
        <left style="medium">
          <color indexed="64"/>
        </left>
        <right/>
        <top/>
        <bottom/>
      </border>
    </dxf>
    <dxf>
      <numFmt numFmtId="164" formatCode="0.000"/>
      <border outline="0">
        <right style="medium">
          <color indexed="64"/>
        </right>
      </border>
    </dxf>
    <dxf>
      <numFmt numFmtId="164" formatCode="0.000"/>
    </dxf>
    <dxf>
      <numFmt numFmtId="165" formatCode="0.0"/>
    </dxf>
    <dxf>
      <numFmt numFmtId="165" formatCode="0.0"/>
    </dxf>
    <dxf>
      <numFmt numFmtId="0" formatCode="General"/>
    </dxf>
    <dxf>
      <numFmt numFmtId="165" formatCode="0.0"/>
    </dxf>
    <dxf>
      <numFmt numFmtId="165" formatCode="0.0"/>
    </dxf>
    <dxf>
      <numFmt numFmtId="0" formatCode="General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A1:AE179" totalsRowCount="1">
  <autoFilter ref="A1:AE178"/>
  <tableColumns count="31">
    <tableColumn id="1" name="Week" totalsRowLabel="Total"/>
    <tableColumn id="2" name="Home Team"/>
    <tableColumn id="3" name="Away Team"/>
    <tableColumn id="4" name="Home Pts" totalsRowFunction="average" totalsRowDxfId="19"/>
    <tableColumn id="5" name="Away Pts" totalsRowFunction="average" totalsRowDxfId="18"/>
    <tableColumn id="14" name="Home EV" totalsRowFunction="average" dataDxfId="79" totalsRowDxfId="17">
      <calculatedColumnFormula>VLOOKUP(Table2[[#This Row],[Home Team]],home_lookup,3,FALSE)+VLOOKUP(Table2[[#This Row],[Home Team]],off_pts_lookup,7,FALSE)+VLOOKUP(Table2[[#This Row],[Away Team]],def_diff_lookup,14,FALSE)</calculatedColumnFormula>
    </tableColumn>
    <tableColumn id="8" name="Away EV" totalsRowFunction="average" dataDxfId="78" totalsRowDxfId="16">
      <calculatedColumnFormula>VLOOKUP(Table2[[#This Row],[Away Team]],off_pts_lookup,7,FALSE)+VLOOKUP(Table2[[#This Row],[Home Team]],def_diff_lookup,14,FALSE)</calculatedColumnFormula>
    </tableColumn>
    <tableColumn id="21" name="Pace (H)" totalsRowFunction="average" dataDxfId="77" totalsRowDxfId="15">
      <calculatedColumnFormula>VLOOKUP(Table2[[#This Row],[Home Team]],pace_lookup,5,FALSE)</calculatedColumnFormula>
    </tableColumn>
    <tableColumn id="22" name="Pace (A)" totalsRowFunction="average" dataDxfId="76" totalsRowDxfId="14">
      <calculatedColumnFormula>VLOOKUP(Table2[[#This Row],[Away Team]],pace_lookup,5,FALSE)</calculatedColumnFormula>
    </tableColumn>
    <tableColumn id="6" name="Total" totalsRowFunction="average" totalsRowDxfId="13"/>
    <tableColumn id="20" name="Total (V)" totalsRowFunction="average" totalsRowDxfId="12"/>
    <tableColumn id="27" name="Total Win" totalsRowFunction="custom" dataDxfId="75" totalsRowDxfId="11" dataCellStyle="Bad">
      <calculatedColumnFormula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calculatedColumnFormula>
      <totalsRowFormula>SUM(L2:L178)/COUNT(L2:L178)</totalsRowFormula>
    </tableColumn>
    <tableColumn id="26" name="Real Total" totalsRowFunction="average" totalsRowDxfId="10" dataCellStyle="Bad"/>
    <tableColumn id="17" name="Total EV" totalsRowFunction="average" dataDxfId="74" totalsRowDxfId="9">
      <calculatedColumnFormula>Table2[[#This Row],[Home EV]]+Table2[[#This Row],[Away EV]]</calculatedColumnFormula>
    </tableColumn>
    <tableColumn id="10" name="Margin" totalsRowFunction="average" dataDxfId="73" totalsRowDxfId="8"/>
    <tableColumn id="19" name="Margin (V)" totalsRowFunction="average" totalsRowDxfId="7"/>
    <tableColumn id="29" name="(A) Win" totalsRowFunction="custom" dataDxfId="72" totalsRowDxfId="6" dataCellStyle="Bad">
      <calculatedColumnFormula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calculatedColumnFormula>
      <totalsRowFormula>SUM(Table2[(A) Win])/COUNT(Table2[(A) Win])</totalsRowFormula>
    </tableColumn>
    <tableColumn id="24" name="Real EV (A)" dataDxfId="71"/>
    <tableColumn id="11" name="EV (A)" totalsRowFunction="average" dataDxfId="70" totalsRowDxfId="5">
      <calculatedColumnFormula>-home-VLOOKUP(B2,lookup,2,FALSE)+VLOOKUP(C2,lookup,2,FALSE)</calculatedColumnFormula>
    </tableColumn>
    <tableColumn id="31" name="EV Win" totalsRowFunction="custom" dataDxfId="69" totalsRowDxfId="4" dataCellStyle="Bad">
      <calculatedColumnFormula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calculatedColumnFormula>
      <totalsRowFormula>SUM(Table2[EV Win])/COUNT(Table2[EV Win])</totalsRowFormula>
    </tableColumn>
    <tableColumn id="7" name="Real EV (B)" dataDxfId="68"/>
    <tableColumn id="9" name="EV (B)" totalsRowFunction="average" dataDxfId="67" totalsRowDxfId="3">
      <calculatedColumnFormula>-VLOOKUP(Table2[[#This Row],[Home Team]],home_lookup,3,FALSE)-VLOOKUP(B2,lookup,2,FALSE)+VLOOKUP(C2,lookup,2,FALSE)</calculatedColumnFormula>
    </tableColumn>
    <tableColumn id="12" name="ERR (A)"/>
    <tableColumn id="13" name="SQR ERR (A)"/>
    <tableColumn id="15" name="ERR (B)" dataDxfId="66">
      <calculatedColumnFormula>$O2-V2</calculatedColumnFormula>
    </tableColumn>
    <tableColumn id="16" name="SQR ERR (B)" dataDxfId="65">
      <calculatedColumnFormula>Table2[[#This Row],[ERR (B)]]^2</calculatedColumnFormula>
    </tableColumn>
    <tableColumn id="18" name="Pace Score " dataDxfId="64" totalsRowDxfId="2">
      <calculatedColumnFormula>Table2[[#This Row],[Pace (H)]]-Table2[[#This Row],[Pace (A)]]</calculatedColumnFormula>
    </tableColumn>
    <tableColumn id="28" name="Scoring" dataDxfId="63" totalsRowDxfId="1">
      <calculatedColumnFormula>Table2[[#This Row],[Total EV]]-Table2[[#Totals],[Total EV]]</calculatedColumnFormula>
    </tableColumn>
    <tableColumn id="30" name="Total Gap" dataDxfId="62" totalsRowDxfId="0">
      <calculatedColumnFormula>Table2[[#This Row],[Total EV]]-Table2[[#This Row],[Total (V)]]</calculatedColumnFormula>
    </tableColumn>
    <tableColumn id="25" name="(A) Gap" dataDxfId="61">
      <calculatedColumnFormula>Table2[[#This Row],[Margin (V)]]-Table2[[#This Row],[EV (A)]]</calculatedColumnFormula>
    </tableColumn>
    <tableColumn id="23" name="Division" dataDxfId="60">
      <calculatedColumnFormula>IF(VLOOKUP(Table2[[#This Row],[Home Team]],division_lookup,2,FALSE)=VLOOKUP(Table2[[#This Row],[Away Team]],division_lookup,2,FALSE),TRUE, FALSE)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A1:B33" totalsRowShown="0">
  <autoFilter ref="A1:B33"/>
  <tableColumns count="2">
    <tableColumn id="1" name="Team"/>
    <tableColumn id="2" name="Division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1:O34" totalsRowCount="1">
  <autoFilter ref="A1:O33"/>
  <sortState ref="A2:O33">
    <sortCondition descending="1" ref="O1:O33"/>
  </sortState>
  <tableColumns count="15">
    <tableColumn id="2" name="Team" totalsRowLabel="Total"/>
    <tableColumn id="3" name="G"/>
    <tableColumn id="4" name="Pts (O)" totalsRowFunction="average" dataDxfId="49" totalsRowDxfId="38"/>
    <tableColumn id="6" name="Plays (O)" totalsRowFunction="average" totalsRowDxfId="37"/>
    <tableColumn id="29" name="Plys/G (O)" totalsRowFunction="average" dataDxfId="48" totalsRowDxfId="36">
      <calculatedColumnFormula>Table5[[#This Row],[Plays (O)]]/Table5[[#This Row],[G]]</calculatedColumnFormula>
    </tableColumn>
    <tableColumn id="31" name="Pts/P (O)" totalsRowFunction="average" dataDxfId="47" totalsRowDxfId="35">
      <calculatedColumnFormula>Table5[[#This Row],[Pts (O)]]/Table5[[#This Row],[Plays (O)]]</calculatedColumnFormula>
    </tableColumn>
    <tableColumn id="38" name="Off Pts/g" totalsRowFunction="average" dataDxfId="46" totalsRowDxfId="34">
      <calculatedColumnFormula>Table5[[#This Row],[Plys/G (O)]]*Table5[[#This Row],[Pts/P (O)]]</calculatedColumnFormula>
    </tableColumn>
    <tableColumn id="1" name="Off Diff" totalsRowFunction="average" dataDxfId="45" totalsRowDxfId="33">
      <calculatedColumnFormula>Table5[[#This Row],[Off Pts/g]]-Table5[[#Totals],[Off Pts/g]]</calculatedColumnFormula>
    </tableColumn>
    <tableColumn id="33" name="Pts (D)" totalsRowFunction="average" dataDxfId="44" totalsRowDxfId="32"/>
    <tableColumn id="34" name="Plays (D)" totalsRowFunction="average" totalsRowDxfId="31"/>
    <tableColumn id="36" name="Plays/G (D)" totalsRowFunction="average" dataDxfId="43" totalsRowDxfId="30">
      <calculatedColumnFormula>Table5[[#This Row],[Plays (D)]]/Table5[[#This Row],[G]]</calculatedColumnFormula>
    </tableColumn>
    <tableColumn id="37" name="Pts/P (D)" totalsRowFunction="average" dataDxfId="42" totalsRowDxfId="29">
      <calculatedColumnFormula>Table5[[#This Row],[Pts (D)]]/Table5[[#This Row],[Plays (D)]]</calculatedColumnFormula>
    </tableColumn>
    <tableColumn id="39" name="Def Pts/G" totalsRowFunction="average" dataDxfId="41" totalsRowDxfId="28">
      <calculatedColumnFormula>Table5[[#This Row],[Plays/G (D)]]*Table5[[#This Row],[Pts/P (D)]]</calculatedColumnFormula>
    </tableColumn>
    <tableColumn id="5" name="Def Diff" totalsRowFunction="average" dataDxfId="40" totalsRowDxfId="27">
      <calculatedColumnFormula>Table5[[#This Row],[Def Pts/G]]-Table5[[#Totals],[Def Pts/G]]</calculatedColumnFormula>
    </tableColumn>
    <tableColumn id="40" name="Pts Diff" totalsRowFunction="average" dataDxfId="39" totalsRowDxfId="26">
      <calculatedColumnFormula>Table5[[#This Row],[Off Pts/g]]-Table5[[#This Row],[Def Pts/G]]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A1:C34" totalsRowCount="1">
  <autoFilter ref="A1:C33"/>
  <sortState ref="A2:C33">
    <sortCondition descending="1" ref="C1:C33"/>
  </sortState>
  <tableColumns count="3">
    <tableColumn id="1" name="Team" totalsRowLabel="Total"/>
    <tableColumn id="2" name="Total Rating" totalsRowFunction="average"/>
    <tableColumn id="3" name="Home Edge" totalsRowFunction="average" dataDxfId="59" totalsRowDxfId="58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M124" totalsRowShown="0">
  <autoFilter ref="A1:M124"/>
  <tableColumns count="13">
    <tableColumn id="1" name="Week"/>
    <tableColumn id="4" name="Home"/>
    <tableColumn id="2" name="Away"/>
    <tableColumn id="5" name="Open Spread"/>
    <tableColumn id="6" name="Closing Spread"/>
    <tableColumn id="9" name="Open ML (Home)"/>
    <tableColumn id="13" name="Open ML (Home) %" dataDxfId="57" dataCellStyle="Percent">
      <calculatedColumnFormula>IF(Table3[[#This Row],[Open ML (Home)]]&lt;0,-Table3[[#This Row],[Open ML (Home)]]/(-Table3[[#This Row],[Open ML (Home)]]+100),100/(Table3[[#This Row],[Open ML (Home)]]+100))</calculatedColumnFormula>
    </tableColumn>
    <tableColumn id="10" name="Close ML (Home)"/>
    <tableColumn id="14" name="Close ML (Home) %" dataDxfId="56">
      <calculatedColumnFormula>IF(Table3[[#This Row],[Close ML (Home)]]&lt;0,-Table3[[#This Row],[Close ML (Home)]]/(-Table3[[#This Row],[Close ML (Home)]]+100),100/(Table3[[#This Row],[Close ML (Home)]]+100))</calculatedColumnFormula>
    </tableColumn>
    <tableColumn id="11" name="Open ML (Away)"/>
    <tableColumn id="15" name="Open ML (Away) %" dataDxfId="55">
      <calculatedColumnFormula>IF(Table3[[#This Row],[Open ML (Away)]]&lt;0,-Table3[[#This Row],[Open ML (Away)]]/(-Table3[[#This Row],[Open ML (Away)]]+100),100/(Table3[[#This Row],[Open ML (Away)]]+100))</calculatedColumnFormula>
    </tableColumn>
    <tableColumn id="12" name="Close ML (Away)"/>
    <tableColumn id="16" name="Close ML (Away) %2" dataDxfId="54">
      <calculatedColumnFormula>IF(Table3[[#This Row],[Close ML (Away)]]&lt;0,-Table3[[#This Row],[Close ML (Away)]]/(-Table3[[#This Row],[Close ML (Away)]]+100),100/(Table3[[#This Row],[Close ML (Away)]]+100))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R12" totalsRowCount="1">
  <autoFilter ref="A1:R11"/>
  <tableColumns count="18">
    <tableColumn id="1" name="Week" totalsRowLabel="Total"/>
    <tableColumn id="2" name="Home Team"/>
    <tableColumn id="3" name="Away Team"/>
    <tableColumn id="4" name="Home Pts"/>
    <tableColumn id="5" name="Away Pts"/>
    <tableColumn id="6" name="Margin" dataDxfId="53">
      <calculatedColumnFormula>Table4[[#This Row],[Away Pts]]-Table4[[#This Row],[Home Pts]]</calculatedColumnFormula>
    </tableColumn>
    <tableColumn id="7" name="Margin (V)"/>
    <tableColumn id="8" name="Margin (A)"/>
    <tableColumn id="18" name="Margin (B)"/>
    <tableColumn id="9" name="Home ML"/>
    <tableColumn id="10" name="Away ML"/>
    <tableColumn id="11" name="Bet"/>
    <tableColumn id="12" name="Bet Amount" totalsRowDxfId="52" dataCellStyle="Currency"/>
    <tableColumn id="13" name="To Win" totalsRowDxfId="51" dataCellStyle="Currency"/>
    <tableColumn id="14" name="Won Amount" totalsRowFunction="sum" totalsRowDxfId="50" dataCellStyle="Currency"/>
    <tableColumn id="15" name="Straight?"/>
    <tableColumn id="16" name="Spread?"/>
    <tableColumn id="17" name="Win?" totalsRowFunction="sum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79"/>
  <sheetViews>
    <sheetView tabSelected="1" topLeftCell="A144" zoomScaleNormal="100" workbookViewId="0">
      <selection activeCell="P168" sqref="P168:P169"/>
    </sheetView>
  </sheetViews>
  <sheetFormatPr defaultRowHeight="15" x14ac:dyDescent="0.25"/>
  <cols>
    <col min="1" max="1" width="8.5703125" bestFit="1" customWidth="1"/>
    <col min="2" max="3" width="21.140625" bestFit="1" customWidth="1"/>
    <col min="4" max="4" width="11.7109375" customWidth="1"/>
    <col min="5" max="6" width="11.28515625" customWidth="1"/>
    <col min="7" max="7" width="11" bestFit="1" customWidth="1"/>
    <col min="8" max="9" width="10.7109375" bestFit="1" customWidth="1"/>
    <col min="10" max="10" width="7.7109375" style="13" customWidth="1"/>
    <col min="11" max="11" width="10.85546875" customWidth="1"/>
    <col min="12" max="12" width="11.85546875" hidden="1" customWidth="1"/>
    <col min="13" max="13" width="12" hidden="1" customWidth="1"/>
    <col min="14" max="14" width="10.5703125" bestFit="1" customWidth="1"/>
    <col min="15" max="15" width="9.5703125" style="13" bestFit="1" customWidth="1"/>
    <col min="16" max="16" width="12.7109375" bestFit="1" customWidth="1"/>
    <col min="17" max="17" width="10.140625" hidden="1" customWidth="1"/>
    <col min="18" max="18" width="13" hidden="1" customWidth="1"/>
    <col min="19" max="19" width="10.28515625" bestFit="1" customWidth="1"/>
    <col min="20" max="20" width="9.7109375" hidden="1" customWidth="1"/>
    <col min="21" max="21" width="12.85546875" hidden="1" customWidth="1"/>
    <col min="22" max="22" width="10.28515625" bestFit="1" customWidth="1"/>
    <col min="23" max="23" width="13.140625" hidden="1" customWidth="1"/>
    <col min="24" max="26" width="14" hidden="1" customWidth="1"/>
    <col min="27" max="27" width="12.7109375" style="13" bestFit="1" customWidth="1"/>
    <col min="28" max="28" width="9.7109375" style="12" bestFit="1" customWidth="1"/>
    <col min="29" max="29" width="11.7109375" bestFit="1" customWidth="1"/>
    <col min="30" max="30" width="10.42578125" bestFit="1" customWidth="1"/>
  </cols>
  <sheetData>
    <row r="1" spans="1:31" x14ac:dyDescent="0.25">
      <c r="A1" t="s">
        <v>0</v>
      </c>
      <c r="B1" t="s">
        <v>39</v>
      </c>
      <c r="C1" t="s">
        <v>40</v>
      </c>
      <c r="D1" t="s">
        <v>34</v>
      </c>
      <c r="E1" t="s">
        <v>33</v>
      </c>
      <c r="F1" t="s">
        <v>103</v>
      </c>
      <c r="G1" t="s">
        <v>104</v>
      </c>
      <c r="H1" t="s">
        <v>108</v>
      </c>
      <c r="I1" t="s">
        <v>109</v>
      </c>
      <c r="J1" s="13" t="s">
        <v>41</v>
      </c>
      <c r="K1" t="s">
        <v>44</v>
      </c>
      <c r="L1" t="s">
        <v>121</v>
      </c>
      <c r="M1" t="s">
        <v>120</v>
      </c>
      <c r="N1" t="s">
        <v>105</v>
      </c>
      <c r="O1" s="13" t="s">
        <v>46</v>
      </c>
      <c r="P1" t="s">
        <v>45</v>
      </c>
      <c r="Q1" t="s">
        <v>123</v>
      </c>
      <c r="R1" t="s">
        <v>100</v>
      </c>
      <c r="S1" t="s">
        <v>99</v>
      </c>
      <c r="T1" t="s">
        <v>126</v>
      </c>
      <c r="U1" t="s">
        <v>101</v>
      </c>
      <c r="V1" t="s">
        <v>102</v>
      </c>
      <c r="W1" t="s">
        <v>93</v>
      </c>
      <c r="X1" t="s">
        <v>94</v>
      </c>
      <c r="Y1" t="s">
        <v>95</v>
      </c>
      <c r="Z1" t="s">
        <v>96</v>
      </c>
      <c r="AA1" s="13" t="s">
        <v>110</v>
      </c>
      <c r="AB1" s="12" t="s">
        <v>122</v>
      </c>
      <c r="AC1" s="12" t="s">
        <v>124</v>
      </c>
      <c r="AD1" t="s">
        <v>125</v>
      </c>
      <c r="AE1" t="s">
        <v>111</v>
      </c>
    </row>
    <row r="2" spans="1:31" x14ac:dyDescent="0.25">
      <c r="A2">
        <v>1</v>
      </c>
      <c r="B2" t="s">
        <v>1</v>
      </c>
      <c r="C2" t="s">
        <v>2</v>
      </c>
      <c r="D2">
        <v>21</v>
      </c>
      <c r="E2">
        <v>20</v>
      </c>
      <c r="F2" s="6">
        <f>VLOOKUP(Table2[[#This Row],[Home Team]],home_lookup,3,FALSE)+VLOOKUP(Table2[[#This Row],[Home Team]],off_pts_lookup,7,FALSE)+VLOOKUP(Table2[[#This Row],[Away Team]],def_diff_lookup,14,FALSE)</f>
        <v>27.287786374219419</v>
      </c>
      <c r="G2" s="6">
        <f>VLOOKUP(Table2[[#This Row],[Away Team]],off_pts_lookup,7,FALSE)+VLOOKUP(Table2[[#This Row],[Home Team]],def_diff_lookup,14,FALSE)</f>
        <v>20.427746212121207</v>
      </c>
      <c r="H2" s="3">
        <f>VLOOKUP(Table2[[#This Row],[Home Team]],pace_lookup,5,FALSE)</f>
        <v>64</v>
      </c>
      <c r="I2" s="3">
        <f>VLOOKUP(Table2[[#This Row],[Away Team]],pace_lookup,5,FALSE)</f>
        <v>66.8</v>
      </c>
      <c r="J2" s="13">
        <f>D2+E2</f>
        <v>41</v>
      </c>
      <c r="K2">
        <v>40.5</v>
      </c>
      <c r="N2" s="33">
        <f>Table2[[#This Row],[Home EV]]+Table2[[#This Row],[Away EV]]</f>
        <v>47.715532586340629</v>
      </c>
      <c r="O2" s="13">
        <f t="shared" ref="O2:O33" si="0">E2-D2</f>
        <v>-1</v>
      </c>
      <c r="P2">
        <v>3</v>
      </c>
      <c r="R2" s="33"/>
      <c r="S2" s="33">
        <f t="shared" ref="S2:S33" si="1">-home-VLOOKUP(B2,lookup,2,FALSE)+VLOOKUP(C2,lookup,2,FALSE)</f>
        <v>-8.5062499999999996</v>
      </c>
      <c r="T2" s="33"/>
      <c r="U2" s="33"/>
      <c r="V2" s="33">
        <f>-VLOOKUP(Table2[[#This Row],[Home Team]],home_lookup,3,FALSE)-VLOOKUP(B2,lookup,2,FALSE)+VLOOKUP(C2,lookup,2,FALSE)</f>
        <v>-7.2600401620982113</v>
      </c>
      <c r="W2" s="1">
        <f>$O2-S2</f>
        <v>7.5062499999999996</v>
      </c>
      <c r="X2" s="1">
        <f>Table2[[#This Row],[ERR (A)]]^2</f>
        <v>56.343789062499994</v>
      </c>
      <c r="Y2" s="1">
        <f t="shared" ref="Y2:Y33" si="2">$O2-V2</f>
        <v>6.2600401620982113</v>
      </c>
      <c r="Z2" s="1">
        <f>Table2[[#This Row],[ERR (B)]]^2</f>
        <v>39.188102831082603</v>
      </c>
      <c r="AA2" s="18">
        <f>Table2[[#This Row],[Pace (H)]]-Table2[[#This Row],[Pace (A)]]</f>
        <v>-2.7999999999999972</v>
      </c>
      <c r="AB2" s="19">
        <f>Table2[[#This Row],[Total EV]]-Table2[[#Totals],[Total EV]]</f>
        <v>-1.1561772251469975</v>
      </c>
      <c r="AC2" s="19">
        <f>Table2[[#This Row],[Total EV]]-Table2[[#This Row],[Total (V)]]</f>
        <v>7.215532586340629</v>
      </c>
      <c r="AD2" s="3">
        <f>Table2[[#This Row],[Margin (V)]]-Table2[[#This Row],[EV (A)]]</f>
        <v>11.50625</v>
      </c>
      <c r="AE2" t="b">
        <f>IF(VLOOKUP(Table2[[#This Row],[Home Team]],division_lookup,2,FALSE)=VLOOKUP(Table2[[#This Row],[Away Team]],division_lookup,2,FALSE),TRUE, FALSE)</f>
        <v>0</v>
      </c>
    </row>
    <row r="3" spans="1:31" x14ac:dyDescent="0.25">
      <c r="A3">
        <v>1</v>
      </c>
      <c r="B3" t="s">
        <v>4</v>
      </c>
      <c r="C3" t="s">
        <v>3</v>
      </c>
      <c r="D3">
        <v>23</v>
      </c>
      <c r="E3">
        <v>27</v>
      </c>
      <c r="F3" s="6">
        <f>VLOOKUP(Table2[[#This Row],[Home Team]],home_lookup,3,FALSE)+VLOOKUP(Table2[[#This Row],[Home Team]],off_pts_lookup,7,FALSE)+VLOOKUP(Table2[[#This Row],[Away Team]],def_diff_lookup,14,FALSE)</f>
        <v>26.911151189949052</v>
      </c>
      <c r="G3" s="6">
        <f>VLOOKUP(Table2[[#This Row],[Away Team]],off_pts_lookup,7,FALSE)+VLOOKUP(Table2[[#This Row],[Home Team]],def_diff_lookup,14,FALSE)</f>
        <v>28.327746212121216</v>
      </c>
      <c r="H3" s="3">
        <f>VLOOKUP(Table2[[#This Row],[Home Team]],pace_lookup,5,FALSE)</f>
        <v>65.099999999999994</v>
      </c>
      <c r="I3" s="3">
        <f>VLOOKUP(Table2[[#This Row],[Away Team]],pace_lookup,5,FALSE)</f>
        <v>66.2</v>
      </c>
      <c r="J3" s="13">
        <f t="shared" ref="J3:J66" si="3">D3+E3</f>
        <v>50</v>
      </c>
      <c r="K3">
        <v>47.5</v>
      </c>
      <c r="N3" s="33">
        <f>Table2[[#This Row],[Home EV]]+Table2[[#This Row],[Away EV]]</f>
        <v>55.238897402070265</v>
      </c>
      <c r="O3" s="13">
        <f t="shared" si="0"/>
        <v>4</v>
      </c>
      <c r="P3">
        <v>3.5</v>
      </c>
      <c r="R3" s="33"/>
      <c r="S3" s="33">
        <f t="shared" si="1"/>
        <v>3.5937499999999991</v>
      </c>
      <c r="T3" s="33"/>
      <c r="U3" s="33"/>
      <c r="V3" s="33">
        <f>-VLOOKUP(Table2[[#This Row],[Home Team]],home_lookup,3,FALSE)-VLOOKUP(B3,lookup,2,FALSE)+VLOOKUP(C3,lookup,2,FALSE)</f>
        <v>3.6165950221721532</v>
      </c>
      <c r="W3" s="1">
        <f t="shared" ref="W3:W66" si="4">$O3-S3</f>
        <v>0.40625000000000089</v>
      </c>
      <c r="X3" s="1">
        <f>Table2[[#This Row],[ERR (A)]]^2</f>
        <v>0.16503906250000072</v>
      </c>
      <c r="Y3" s="1">
        <f t="shared" si="2"/>
        <v>0.38340497782784677</v>
      </c>
      <c r="Z3" s="1">
        <f>Table2[[#This Row],[ERR (B)]]^2</f>
        <v>0.14699937702317167</v>
      </c>
      <c r="AA3" s="18">
        <f>Table2[[#This Row],[Pace (H)]]-Table2[[#This Row],[Pace (A)]]</f>
        <v>-1.1000000000000085</v>
      </c>
      <c r="AB3" s="19">
        <f>Table2[[#This Row],[Total EV]]-Table2[[#Totals],[Total EV]]</f>
        <v>6.3671875905826383</v>
      </c>
      <c r="AC3" s="19">
        <f>Table2[[#This Row],[Total EV]]-Table2[[#This Row],[Total (V)]]</f>
        <v>7.7388974020702648</v>
      </c>
      <c r="AD3" s="3">
        <f>Table2[[#This Row],[Margin (V)]]-Table2[[#This Row],[EV (A)]]</f>
        <v>-9.3749999999999112E-2</v>
      </c>
      <c r="AE3" t="b">
        <f>IF(VLOOKUP(Table2[[#This Row],[Home Team]],division_lookup,2,FALSE)=VLOOKUP(Table2[[#This Row],[Away Team]],division_lookup,2,FALSE),TRUE, FALSE)</f>
        <v>0</v>
      </c>
    </row>
    <row r="4" spans="1:31" x14ac:dyDescent="0.25">
      <c r="A4">
        <v>1</v>
      </c>
      <c r="B4" t="s">
        <v>5</v>
      </c>
      <c r="C4" t="s">
        <v>6</v>
      </c>
      <c r="D4">
        <v>13</v>
      </c>
      <c r="E4">
        <v>7</v>
      </c>
      <c r="F4" s="6">
        <f>VLOOKUP(Table2[[#This Row],[Home Team]],home_lookup,3,FALSE)+VLOOKUP(Table2[[#This Row],[Home Team]],off_pts_lookup,7,FALSE)+VLOOKUP(Table2[[#This Row],[Away Team]],def_diff_lookup,14,FALSE)</f>
        <v>24.588549982716028</v>
      </c>
      <c r="G4" s="6">
        <f>VLOOKUP(Table2[[#This Row],[Away Team]],off_pts_lookup,7,FALSE)+VLOOKUP(Table2[[#This Row],[Home Team]],def_diff_lookup,14,FALSE)</f>
        <v>21.127746212121213</v>
      </c>
      <c r="H4" s="3">
        <f>VLOOKUP(Table2[[#This Row],[Home Team]],pace_lookup,5,FALSE)</f>
        <v>67.400000000000006</v>
      </c>
      <c r="I4" s="3">
        <f>VLOOKUP(Table2[[#This Row],[Away Team]],pace_lookup,5,FALSE)</f>
        <v>62.5</v>
      </c>
      <c r="J4" s="13">
        <f t="shared" si="3"/>
        <v>20</v>
      </c>
      <c r="K4">
        <v>44.5</v>
      </c>
      <c r="N4" s="33">
        <f>Table2[[#This Row],[Home EV]]+Table2[[#This Row],[Away EV]]</f>
        <v>45.716296194837241</v>
      </c>
      <c r="O4" s="13">
        <f t="shared" si="0"/>
        <v>-6</v>
      </c>
      <c r="P4">
        <v>-3</v>
      </c>
      <c r="R4" s="33"/>
      <c r="S4" s="33">
        <f t="shared" si="1"/>
        <v>2.0937499999999996</v>
      </c>
      <c r="T4" s="33"/>
      <c r="U4" s="33"/>
      <c r="V4" s="33">
        <f>-VLOOKUP(Table2[[#This Row],[Home Team]],home_lookup,3,FALSE)-VLOOKUP(B4,lookup,2,FALSE)+VLOOKUP(C4,lookup,2,FALSE)</f>
        <v>-1.0608037705948155</v>
      </c>
      <c r="W4" s="1">
        <f t="shared" si="4"/>
        <v>-8.09375</v>
      </c>
      <c r="X4" s="1">
        <f>Table2[[#This Row],[ERR (A)]]^2</f>
        <v>65.5087890625</v>
      </c>
      <c r="Y4" s="1">
        <f t="shared" si="2"/>
        <v>-4.9391962294051845</v>
      </c>
      <c r="Z4" s="1">
        <f>Table2[[#This Row],[ERR (B)]]^2</f>
        <v>24.395659392570394</v>
      </c>
      <c r="AA4" s="18">
        <f>Table2[[#This Row],[Pace (H)]]-Table2[[#This Row],[Pace (A)]]</f>
        <v>4.9000000000000057</v>
      </c>
      <c r="AB4" s="19">
        <f>Table2[[#This Row],[Total EV]]-Table2[[#Totals],[Total EV]]</f>
        <v>-3.1554136166503852</v>
      </c>
      <c r="AC4" s="19">
        <f>Table2[[#This Row],[Total EV]]-Table2[[#This Row],[Total (V)]]</f>
        <v>1.2162961948372413</v>
      </c>
      <c r="AD4" s="3">
        <f>Table2[[#This Row],[Margin (V)]]-Table2[[#This Row],[EV (A)]]</f>
        <v>-5.09375</v>
      </c>
      <c r="AE4" t="b">
        <f>IF(VLOOKUP(Table2[[#This Row],[Home Team]],division_lookup,2,FALSE)=VLOOKUP(Table2[[#This Row],[Away Team]],division_lookup,2,FALSE),TRUE, FALSE)</f>
        <v>0</v>
      </c>
    </row>
    <row r="5" spans="1:31" x14ac:dyDescent="0.25">
      <c r="A5">
        <v>1</v>
      </c>
      <c r="B5" t="s">
        <v>8</v>
      </c>
      <c r="C5" t="s">
        <v>7</v>
      </c>
      <c r="D5">
        <v>22</v>
      </c>
      <c r="E5">
        <v>23</v>
      </c>
      <c r="F5" s="6">
        <f>VLOOKUP(Table2[[#This Row],[Home Team]],home_lookup,3,FALSE)+VLOOKUP(Table2[[#This Row],[Home Team]],off_pts_lookup,7,FALSE)+VLOOKUP(Table2[[#This Row],[Away Team]],def_diff_lookup,14,FALSE)</f>
        <v>21.756807586320136</v>
      </c>
      <c r="G5" s="6">
        <f>VLOOKUP(Table2[[#This Row],[Away Team]],off_pts_lookup,7,FALSE)+VLOOKUP(Table2[[#This Row],[Home Team]],def_diff_lookup,14,FALSE)</f>
        <v>21.427746212121214</v>
      </c>
      <c r="H5" s="3">
        <f>VLOOKUP(Table2[[#This Row],[Home Team]],pace_lookup,5,FALSE)</f>
        <v>62.6</v>
      </c>
      <c r="I5" s="3">
        <f>VLOOKUP(Table2[[#This Row],[Away Team]],pace_lookup,5,FALSE)</f>
        <v>65.900000000000006</v>
      </c>
      <c r="J5" s="13">
        <f t="shared" si="3"/>
        <v>45</v>
      </c>
      <c r="K5">
        <v>42</v>
      </c>
      <c r="N5" s="33">
        <f>Table2[[#This Row],[Home EV]]+Table2[[#This Row],[Away EV]]</f>
        <v>43.18455379844135</v>
      </c>
      <c r="O5" s="13">
        <f t="shared" si="0"/>
        <v>1</v>
      </c>
      <c r="P5">
        <v>1</v>
      </c>
      <c r="R5" s="33"/>
      <c r="S5" s="33">
        <f t="shared" si="1"/>
        <v>1.8937500000000003</v>
      </c>
      <c r="T5" s="33"/>
      <c r="U5" s="33"/>
      <c r="V5" s="33">
        <f>-VLOOKUP(Table2[[#This Row],[Home Team]],home_lookup,3,FALSE)-VLOOKUP(B5,lookup,2,FALSE)+VLOOKUP(C5,lookup,2,FALSE)</f>
        <v>0.67093862580107588</v>
      </c>
      <c r="W5" s="1">
        <f t="shared" si="4"/>
        <v>-0.89375000000000027</v>
      </c>
      <c r="X5" s="1">
        <f>Table2[[#This Row],[ERR (A)]]^2</f>
        <v>0.79878906250000048</v>
      </c>
      <c r="Y5" s="1">
        <f t="shared" si="2"/>
        <v>0.32906137419892412</v>
      </c>
      <c r="Z5" s="1">
        <f>Table2[[#This Row],[ERR (B)]]^2</f>
        <v>0.10828138798968437</v>
      </c>
      <c r="AA5" s="18">
        <f>Table2[[#This Row],[Pace (H)]]-Table2[[#This Row],[Pace (A)]]</f>
        <v>-3.3000000000000043</v>
      </c>
      <c r="AB5" s="19">
        <f>Table2[[#This Row],[Total EV]]-Table2[[#Totals],[Total EV]]</f>
        <v>-5.6871560130462768</v>
      </c>
      <c r="AC5" s="19">
        <f>Table2[[#This Row],[Total EV]]-Table2[[#This Row],[Total (V)]]</f>
        <v>1.1845537984413497</v>
      </c>
      <c r="AD5" s="3">
        <f>Table2[[#This Row],[Margin (V)]]-Table2[[#This Row],[EV (A)]]</f>
        <v>-0.89375000000000027</v>
      </c>
      <c r="AE5" t="b">
        <f>IF(VLOOKUP(Table2[[#This Row],[Home Team]],division_lookup,2,FALSE)=VLOOKUP(Table2[[#This Row],[Away Team]],division_lookup,2,FALSE),TRUE, FALSE)</f>
        <v>0</v>
      </c>
    </row>
    <row r="6" spans="1:31" x14ac:dyDescent="0.25">
      <c r="A6">
        <v>1</v>
      </c>
      <c r="B6" t="s">
        <v>9</v>
      </c>
      <c r="C6" t="s">
        <v>10</v>
      </c>
      <c r="D6">
        <v>23</v>
      </c>
      <c r="E6">
        <v>14</v>
      </c>
      <c r="F6" s="6">
        <f>VLOOKUP(Table2[[#This Row],[Home Team]],home_lookup,3,FALSE)+VLOOKUP(Table2[[#This Row],[Home Team]],off_pts_lookup,7,FALSE)+VLOOKUP(Table2[[#This Row],[Away Team]],def_diff_lookup,14,FALSE)</f>
        <v>26.820294441319128</v>
      </c>
      <c r="G6" s="6">
        <f>VLOOKUP(Table2[[#This Row],[Away Team]],off_pts_lookup,7,FALSE)+VLOOKUP(Table2[[#This Row],[Home Team]],def_diff_lookup,14,FALSE)</f>
        <v>13.716635101010096</v>
      </c>
      <c r="H6" s="3">
        <f>VLOOKUP(Table2[[#This Row],[Home Team]],pace_lookup,5,FALSE)</f>
        <v>65.777777777777771</v>
      </c>
      <c r="I6" s="3">
        <f>VLOOKUP(Table2[[#This Row],[Away Team]],pace_lookup,5,FALSE)</f>
        <v>59.3</v>
      </c>
      <c r="J6" s="13">
        <f t="shared" si="3"/>
        <v>37</v>
      </c>
      <c r="K6">
        <v>42.5</v>
      </c>
      <c r="N6" s="33">
        <f>Table2[[#This Row],[Home EV]]+Table2[[#This Row],[Away EV]]</f>
        <v>40.536929542329226</v>
      </c>
      <c r="O6" s="13">
        <f t="shared" si="0"/>
        <v>-9</v>
      </c>
      <c r="P6">
        <v>-5.5</v>
      </c>
      <c r="R6" s="33"/>
      <c r="S6" s="33">
        <f t="shared" si="1"/>
        <v>-7.6062500000000002</v>
      </c>
      <c r="T6" s="33"/>
      <c r="U6" s="33"/>
      <c r="V6" s="33">
        <f>-VLOOKUP(Table2[[#This Row],[Home Team]],home_lookup,3,FALSE)-VLOOKUP(B6,lookup,2,FALSE)+VLOOKUP(C6,lookup,2,FALSE)</f>
        <v>-12.803659340309029</v>
      </c>
      <c r="W6" s="1">
        <f t="shared" si="4"/>
        <v>-1.3937499999999998</v>
      </c>
      <c r="X6" s="1">
        <f>Table2[[#This Row],[ERR (A)]]^2</f>
        <v>1.9425390624999994</v>
      </c>
      <c r="Y6" s="1">
        <f t="shared" si="2"/>
        <v>3.8036593403090286</v>
      </c>
      <c r="Z6" s="1">
        <f>Table2[[#This Row],[ERR (B)]]^2</f>
        <v>14.467824377120115</v>
      </c>
      <c r="AA6" s="18">
        <f>Table2[[#This Row],[Pace (H)]]-Table2[[#This Row],[Pace (A)]]</f>
        <v>6.4777777777777743</v>
      </c>
      <c r="AB6" s="19">
        <f>Table2[[#This Row],[Total EV]]-Table2[[#Totals],[Total EV]]</f>
        <v>-8.3347802691584008</v>
      </c>
      <c r="AC6" s="19">
        <f>Table2[[#This Row],[Total EV]]-Table2[[#This Row],[Total (V)]]</f>
        <v>-1.9630704576707743</v>
      </c>
      <c r="AD6" s="3">
        <f>Table2[[#This Row],[Margin (V)]]-Table2[[#This Row],[EV (A)]]</f>
        <v>2.1062500000000002</v>
      </c>
      <c r="AE6" t="b">
        <f>IF(VLOOKUP(Table2[[#This Row],[Home Team]],division_lookup,2,FALSE)=VLOOKUP(Table2[[#This Row],[Away Team]],division_lookup,2,FALSE),TRUE, FALSE)</f>
        <v>0</v>
      </c>
    </row>
    <row r="7" spans="1:31" x14ac:dyDescent="0.25">
      <c r="A7">
        <v>1</v>
      </c>
      <c r="B7" t="s">
        <v>12</v>
      </c>
      <c r="C7" t="s">
        <v>11</v>
      </c>
      <c r="D7">
        <v>16</v>
      </c>
      <c r="E7">
        <v>25</v>
      </c>
      <c r="F7" s="6">
        <f>VLOOKUP(Table2[[#This Row],[Home Team]],home_lookup,3,FALSE)+VLOOKUP(Table2[[#This Row],[Home Team]],off_pts_lookup,7,FALSE)+VLOOKUP(Table2[[#This Row],[Away Team]],def_diff_lookup,14,FALSE)</f>
        <v>20.803021368215767</v>
      </c>
      <c r="G7" s="6">
        <f>VLOOKUP(Table2[[#This Row],[Away Team]],off_pts_lookup,7,FALSE)+VLOOKUP(Table2[[#This Row],[Home Team]],def_diff_lookup,14,FALSE)</f>
        <v>22.62774621212121</v>
      </c>
      <c r="H7" s="3">
        <f>VLOOKUP(Table2[[#This Row],[Home Team]],pace_lookup,5,FALSE)</f>
        <v>63.909090909090907</v>
      </c>
      <c r="I7" s="3">
        <f>VLOOKUP(Table2[[#This Row],[Away Team]],pace_lookup,5,FALSE)</f>
        <v>62.9</v>
      </c>
      <c r="J7" s="13">
        <f t="shared" si="3"/>
        <v>41</v>
      </c>
      <c r="K7">
        <v>40</v>
      </c>
      <c r="N7" s="33">
        <f>Table2[[#This Row],[Home EV]]+Table2[[#This Row],[Away EV]]</f>
        <v>43.430767580336976</v>
      </c>
      <c r="O7" s="13">
        <f t="shared" si="0"/>
        <v>9</v>
      </c>
      <c r="P7">
        <v>2.5</v>
      </c>
      <c r="R7" s="33"/>
      <c r="S7" s="33">
        <f t="shared" si="1"/>
        <v>0.49374999999999991</v>
      </c>
      <c r="T7" s="33"/>
      <c r="U7" s="33"/>
      <c r="V7" s="33">
        <f>-VLOOKUP(Table2[[#This Row],[Home Team]],home_lookup,3,FALSE)-VLOOKUP(B7,lookup,2,FALSE)+VLOOKUP(C7,lookup,2,FALSE)</f>
        <v>2.8701793893599823</v>
      </c>
      <c r="W7" s="1">
        <f t="shared" si="4"/>
        <v>8.5062499999999996</v>
      </c>
      <c r="X7" s="1">
        <f>Table2[[#This Row],[ERR (A)]]^2</f>
        <v>72.356289062499997</v>
      </c>
      <c r="Y7" s="1">
        <f t="shared" si="2"/>
        <v>6.1298206106400173</v>
      </c>
      <c r="Z7" s="1">
        <f>Table2[[#This Row],[ERR (B)]]^2</f>
        <v>37.574700718627156</v>
      </c>
      <c r="AA7" s="18">
        <f>Table2[[#This Row],[Pace (H)]]-Table2[[#This Row],[Pace (A)]]</f>
        <v>1.0090909090909079</v>
      </c>
      <c r="AB7" s="19">
        <f>Table2[[#This Row],[Total EV]]-Table2[[#Totals],[Total EV]]</f>
        <v>-5.4409422311506503</v>
      </c>
      <c r="AC7" s="19">
        <f>Table2[[#This Row],[Total EV]]-Table2[[#This Row],[Total (V)]]</f>
        <v>3.4307675803369762</v>
      </c>
      <c r="AD7" s="3">
        <f>Table2[[#This Row],[Margin (V)]]-Table2[[#This Row],[EV (A)]]</f>
        <v>2.0062500000000001</v>
      </c>
      <c r="AE7" t="b">
        <f>IF(VLOOKUP(Table2[[#This Row],[Home Team]],division_lookup,2,FALSE)=VLOOKUP(Table2[[#This Row],[Away Team]],division_lookup,2,FALSE),TRUE, FALSE)</f>
        <v>0</v>
      </c>
    </row>
    <row r="8" spans="1:31" x14ac:dyDescent="0.25">
      <c r="A8">
        <v>1</v>
      </c>
      <c r="B8" t="s">
        <v>13</v>
      </c>
      <c r="C8" t="s">
        <v>14</v>
      </c>
      <c r="D8">
        <v>29</v>
      </c>
      <c r="E8">
        <v>10</v>
      </c>
      <c r="F8" s="6">
        <f>VLOOKUP(Table2[[#This Row],[Home Team]],home_lookup,3,FALSE)+VLOOKUP(Table2[[#This Row],[Home Team]],off_pts_lookup,7,FALSE)+VLOOKUP(Table2[[#This Row],[Away Team]],def_diff_lookup,14,FALSE)</f>
        <v>40.651722100107264</v>
      </c>
      <c r="G8" s="6">
        <f>VLOOKUP(Table2[[#This Row],[Away Team]],off_pts_lookup,7,FALSE)+VLOOKUP(Table2[[#This Row],[Home Team]],def_diff_lookup,14,FALSE)</f>
        <v>12.455018939393934</v>
      </c>
      <c r="H8" s="3">
        <f>VLOOKUP(Table2[[#This Row],[Home Team]],pace_lookup,5,FALSE)</f>
        <v>65.5</v>
      </c>
      <c r="I8" s="3">
        <f>VLOOKUP(Table2[[#This Row],[Away Team]],pace_lookup,5,FALSE)</f>
        <v>60.090909090909093</v>
      </c>
      <c r="J8" s="13">
        <f t="shared" si="3"/>
        <v>39</v>
      </c>
      <c r="K8">
        <v>41</v>
      </c>
      <c r="N8" s="33">
        <f>Table2[[#This Row],[Home EV]]+Table2[[#This Row],[Away EV]]</f>
        <v>53.106741039501202</v>
      </c>
      <c r="O8" s="13">
        <f t="shared" si="0"/>
        <v>-19</v>
      </c>
      <c r="P8">
        <v>-3.5</v>
      </c>
      <c r="R8" s="33"/>
      <c r="S8" s="33">
        <f t="shared" si="1"/>
        <v>-21.106249999999999</v>
      </c>
      <c r="T8" s="33"/>
      <c r="U8" s="33"/>
      <c r="V8" s="33">
        <f>-VLOOKUP(Table2[[#This Row],[Home Team]],home_lookup,3,FALSE)-VLOOKUP(B8,lookup,2,FALSE)+VLOOKUP(C8,lookup,2,FALSE)</f>
        <v>-28.078521342531513</v>
      </c>
      <c r="W8" s="1">
        <f t="shared" si="4"/>
        <v>2.1062499999999993</v>
      </c>
      <c r="X8" s="1">
        <f>Table2[[#This Row],[ERR (A)]]^2</f>
        <v>4.4362890624999967</v>
      </c>
      <c r="Y8" s="1">
        <f t="shared" si="2"/>
        <v>9.0785213425315128</v>
      </c>
      <c r="Z8" s="1">
        <f>Table2[[#This Row],[ERR (B)]]^2</f>
        <v>82.419549766800188</v>
      </c>
      <c r="AA8" s="18">
        <f>Table2[[#This Row],[Pace (H)]]-Table2[[#This Row],[Pace (A)]]</f>
        <v>5.4090909090909065</v>
      </c>
      <c r="AB8" s="19">
        <f>Table2[[#This Row],[Total EV]]-Table2[[#Totals],[Total EV]]</f>
        <v>4.2350312280135753</v>
      </c>
      <c r="AC8" s="19">
        <f>Table2[[#This Row],[Total EV]]-Table2[[#This Row],[Total (V)]]</f>
        <v>12.106741039501202</v>
      </c>
      <c r="AD8" s="3">
        <f>Table2[[#This Row],[Margin (V)]]-Table2[[#This Row],[EV (A)]]</f>
        <v>17.606249999999999</v>
      </c>
      <c r="AE8" t="b">
        <f>IF(VLOOKUP(Table2[[#This Row],[Home Team]],division_lookup,2,FALSE)=VLOOKUP(Table2[[#This Row],[Away Team]],division_lookup,2,FALSE),TRUE, FALSE)</f>
        <v>0</v>
      </c>
    </row>
    <row r="9" spans="1:31" x14ac:dyDescent="0.25">
      <c r="A9">
        <v>1</v>
      </c>
      <c r="B9" t="s">
        <v>16</v>
      </c>
      <c r="C9" t="s">
        <v>15</v>
      </c>
      <c r="D9">
        <v>34</v>
      </c>
      <c r="E9">
        <v>35</v>
      </c>
      <c r="F9" s="6">
        <f>VLOOKUP(Table2[[#This Row],[Home Team]],home_lookup,3,FALSE)+VLOOKUP(Table2[[#This Row],[Home Team]],off_pts_lookup,7,FALSE)+VLOOKUP(Table2[[#This Row],[Away Team]],def_diff_lookup,14,FALSE)</f>
        <v>31.103841679026253</v>
      </c>
      <c r="G9" s="6">
        <f>VLOOKUP(Table2[[#This Row],[Away Team]],off_pts_lookup,7,FALSE)+VLOOKUP(Table2[[#This Row],[Home Team]],def_diff_lookup,14,FALSE)</f>
        <v>32.949968434343432</v>
      </c>
      <c r="H9" s="3">
        <f>VLOOKUP(Table2[[#This Row],[Home Team]],pace_lookup,5,FALSE)</f>
        <v>69.400000000000006</v>
      </c>
      <c r="I9" s="3">
        <f>VLOOKUP(Table2[[#This Row],[Away Team]],pace_lookup,5,FALSE)</f>
        <v>67</v>
      </c>
      <c r="J9" s="13">
        <f t="shared" si="3"/>
        <v>69</v>
      </c>
      <c r="K9">
        <v>50.5</v>
      </c>
      <c r="N9" s="33">
        <f>Table2[[#This Row],[Home EV]]+Table2[[#This Row],[Away EV]]</f>
        <v>64.053810113369678</v>
      </c>
      <c r="O9" s="13">
        <f t="shared" si="0"/>
        <v>1</v>
      </c>
      <c r="P9">
        <v>-3</v>
      </c>
      <c r="R9" s="33"/>
      <c r="S9" s="33">
        <f t="shared" si="1"/>
        <v>-1.1062500000000002</v>
      </c>
      <c r="T9" s="33"/>
      <c r="U9" s="33"/>
      <c r="V9" s="33">
        <f>-VLOOKUP(Table2[[#This Row],[Home Team]],home_lookup,3,FALSE)-VLOOKUP(B9,lookup,2,FALSE)+VLOOKUP(C9,lookup,2,FALSE)</f>
        <v>1.1016823108727367</v>
      </c>
      <c r="W9" s="1">
        <f t="shared" si="4"/>
        <v>2.1062500000000002</v>
      </c>
      <c r="X9" s="1">
        <f>Table2[[#This Row],[ERR (A)]]^2</f>
        <v>4.4362890625000011</v>
      </c>
      <c r="Y9" s="1">
        <f t="shared" si="2"/>
        <v>-0.10168231087273671</v>
      </c>
      <c r="Z9" s="1">
        <f>Table2[[#This Row],[ERR (B)]]^2</f>
        <v>1.0339292344419871E-2</v>
      </c>
      <c r="AA9" s="18">
        <f>Table2[[#This Row],[Pace (H)]]-Table2[[#This Row],[Pace (A)]]</f>
        <v>2.4000000000000057</v>
      </c>
      <c r="AB9" s="19">
        <f>Table2[[#This Row],[Total EV]]-Table2[[#Totals],[Total EV]]</f>
        <v>15.182100301882052</v>
      </c>
      <c r="AC9" s="19">
        <f>Table2[[#This Row],[Total EV]]-Table2[[#This Row],[Total (V)]]</f>
        <v>13.553810113369678</v>
      </c>
      <c r="AD9" s="3">
        <f>Table2[[#This Row],[Margin (V)]]-Table2[[#This Row],[EV (A)]]</f>
        <v>-1.8937499999999998</v>
      </c>
      <c r="AE9" t="b">
        <f>IF(VLOOKUP(Table2[[#This Row],[Home Team]],division_lookup,2,FALSE)=VLOOKUP(Table2[[#This Row],[Away Team]],division_lookup,2,FALSE),TRUE, FALSE)</f>
        <v>0</v>
      </c>
    </row>
    <row r="10" spans="1:31" x14ac:dyDescent="0.25">
      <c r="A10">
        <v>1</v>
      </c>
      <c r="B10" t="s">
        <v>17</v>
      </c>
      <c r="C10" t="s">
        <v>18</v>
      </c>
      <c r="D10">
        <v>33</v>
      </c>
      <c r="E10">
        <v>27</v>
      </c>
      <c r="F10" s="6">
        <f>VLOOKUP(Table2[[#This Row],[Home Team]],home_lookup,3,FALSE)+VLOOKUP(Table2[[#This Row],[Home Team]],off_pts_lookup,7,FALSE)+VLOOKUP(Table2[[#This Row],[Away Team]],def_diff_lookup,14,FALSE)</f>
        <v>30.905172522175636</v>
      </c>
      <c r="G10" s="6">
        <f>VLOOKUP(Table2[[#This Row],[Away Team]],off_pts_lookup,7,FALSE)+VLOOKUP(Table2[[#This Row],[Home Team]],def_diff_lookup,14,FALSE)</f>
        <v>25.027746212121208</v>
      </c>
      <c r="H10" s="3">
        <f>VLOOKUP(Table2[[#This Row],[Home Team]],pace_lookup,5,FALSE)</f>
        <v>62.1</v>
      </c>
      <c r="I10" s="3">
        <f>VLOOKUP(Table2[[#This Row],[Away Team]],pace_lookup,5,FALSE)</f>
        <v>66.400000000000006</v>
      </c>
      <c r="J10" s="13">
        <f t="shared" si="3"/>
        <v>60</v>
      </c>
      <c r="K10">
        <v>46</v>
      </c>
      <c r="N10" s="33">
        <f>Table2[[#This Row],[Home EV]]+Table2[[#This Row],[Away EV]]</f>
        <v>55.932918734296848</v>
      </c>
      <c r="O10" s="13">
        <f t="shared" si="0"/>
        <v>-6</v>
      </c>
      <c r="P10">
        <v>-6.5</v>
      </c>
      <c r="R10" s="33"/>
      <c r="S10" s="33">
        <f t="shared" si="1"/>
        <v>-3.5062499999999996</v>
      </c>
      <c r="T10" s="33"/>
      <c r="U10" s="33"/>
      <c r="V10" s="33">
        <f>-VLOOKUP(Table2[[#This Row],[Home Team]],home_lookup,3,FALSE)-VLOOKUP(B10,lookup,2,FALSE)+VLOOKUP(C10,lookup,2,FALSE)</f>
        <v>-4.3774263100544273</v>
      </c>
      <c r="W10" s="1">
        <f t="shared" si="4"/>
        <v>-2.4937500000000004</v>
      </c>
      <c r="X10" s="1">
        <f>Table2[[#This Row],[ERR (A)]]^2</f>
        <v>6.2187890625000017</v>
      </c>
      <c r="Y10" s="1">
        <f t="shared" si="2"/>
        <v>-1.6225736899455727</v>
      </c>
      <c r="Z10" s="1">
        <f>Table2[[#This Row],[ERR (B)]]^2</f>
        <v>2.6327453793035915</v>
      </c>
      <c r="AA10" s="18">
        <f>Table2[[#This Row],[Pace (H)]]-Table2[[#This Row],[Pace (A)]]</f>
        <v>-4.3000000000000043</v>
      </c>
      <c r="AB10" s="19">
        <f>Table2[[#This Row],[Total EV]]-Table2[[#Totals],[Total EV]]</f>
        <v>7.0612089228092216</v>
      </c>
      <c r="AC10" s="19">
        <f>Table2[[#This Row],[Total EV]]-Table2[[#This Row],[Total (V)]]</f>
        <v>9.9329187342968481</v>
      </c>
      <c r="AD10" s="3">
        <f>Table2[[#This Row],[Margin (V)]]-Table2[[#This Row],[EV (A)]]</f>
        <v>-2.9937500000000004</v>
      </c>
      <c r="AE10" t="b">
        <f>IF(VLOOKUP(Table2[[#This Row],[Home Team]],division_lookup,2,FALSE)=VLOOKUP(Table2[[#This Row],[Away Team]],division_lookup,2,FALSE),TRUE, FALSE)</f>
        <v>1</v>
      </c>
    </row>
    <row r="11" spans="1:31" x14ac:dyDescent="0.25">
      <c r="A11">
        <v>1</v>
      </c>
      <c r="B11" t="s">
        <v>20</v>
      </c>
      <c r="C11" t="s">
        <v>19</v>
      </c>
      <c r="D11">
        <v>24</v>
      </c>
      <c r="E11">
        <v>31</v>
      </c>
      <c r="F11" s="6">
        <f>VLOOKUP(Table2[[#This Row],[Home Team]],home_lookup,3,FALSE)+VLOOKUP(Table2[[#This Row],[Home Team]],off_pts_lookup,7,FALSE)+VLOOKUP(Table2[[#This Row],[Away Team]],def_diff_lookup,14,FALSE)</f>
        <v>30.006265846188992</v>
      </c>
      <c r="G11" s="6">
        <f>VLOOKUP(Table2[[#This Row],[Away Team]],off_pts_lookup,7,FALSE)+VLOOKUP(Table2[[#This Row],[Home Team]],def_diff_lookup,14,FALSE)</f>
        <v>28.927746212121214</v>
      </c>
      <c r="H11" s="3">
        <f>VLOOKUP(Table2[[#This Row],[Home Team]],pace_lookup,5,FALSE)</f>
        <v>61.9</v>
      </c>
      <c r="I11" s="3">
        <f>VLOOKUP(Table2[[#This Row],[Away Team]],pace_lookup,5,FALSE)</f>
        <v>69.900000000000006</v>
      </c>
      <c r="J11" s="13">
        <f t="shared" si="3"/>
        <v>55</v>
      </c>
      <c r="K11">
        <v>47</v>
      </c>
      <c r="N11" s="33">
        <f>Table2[[#This Row],[Home EV]]+Table2[[#This Row],[Away EV]]</f>
        <v>58.934012058310202</v>
      </c>
      <c r="O11" s="13">
        <f t="shared" si="0"/>
        <v>7</v>
      </c>
      <c r="P11">
        <v>-2.5</v>
      </c>
      <c r="R11" s="33"/>
      <c r="S11" s="33">
        <f t="shared" si="1"/>
        <v>-11.80625</v>
      </c>
      <c r="T11" s="33"/>
      <c r="U11" s="33"/>
      <c r="V11" s="33">
        <f>-VLOOKUP(Table2[[#This Row],[Home Team]],home_lookup,3,FALSE)-VLOOKUP(B11,lookup,2,FALSE)+VLOOKUP(C11,lookup,2,FALSE)</f>
        <v>-3.8785196340677817</v>
      </c>
      <c r="W11" s="1">
        <f t="shared" si="4"/>
        <v>18.806249999999999</v>
      </c>
      <c r="X11" s="1">
        <f>Table2[[#This Row],[ERR (A)]]^2</f>
        <v>353.67503906249993</v>
      </c>
      <c r="Y11" s="1">
        <f t="shared" si="2"/>
        <v>10.878519634067782</v>
      </c>
      <c r="Z11" s="1">
        <f>Table2[[#This Row],[ERR (B)]]^2</f>
        <v>118.34218942879824</v>
      </c>
      <c r="AA11" s="18">
        <f>Table2[[#This Row],[Pace (H)]]-Table2[[#This Row],[Pace (A)]]</f>
        <v>-8.0000000000000071</v>
      </c>
      <c r="AB11" s="19">
        <f>Table2[[#This Row],[Total EV]]-Table2[[#Totals],[Total EV]]</f>
        <v>10.062302246822576</v>
      </c>
      <c r="AC11" s="19">
        <f>Table2[[#This Row],[Total EV]]-Table2[[#This Row],[Total (V)]]</f>
        <v>11.934012058310202</v>
      </c>
      <c r="AD11" s="3">
        <f>Table2[[#This Row],[Margin (V)]]-Table2[[#This Row],[EV (A)]]</f>
        <v>9.3062500000000004</v>
      </c>
      <c r="AE11" t="b">
        <f>IF(VLOOKUP(Table2[[#This Row],[Home Team]],division_lookup,2,FALSE)=VLOOKUP(Table2[[#This Row],[Away Team]],division_lookup,2,FALSE),TRUE, FALSE)</f>
        <v>1</v>
      </c>
    </row>
    <row r="12" spans="1:31" x14ac:dyDescent="0.25">
      <c r="A12">
        <v>1</v>
      </c>
      <c r="B12" t="s">
        <v>21</v>
      </c>
      <c r="C12" t="s">
        <v>22</v>
      </c>
      <c r="D12">
        <v>12</v>
      </c>
      <c r="E12">
        <v>10</v>
      </c>
      <c r="F12" s="6">
        <f>VLOOKUP(Table2[[#This Row],[Home Team]],home_lookup,3,FALSE)+VLOOKUP(Table2[[#This Row],[Home Team]],off_pts_lookup,7,FALSE)+VLOOKUP(Table2[[#This Row],[Away Team]],def_diff_lookup,14,FALSE)</f>
        <v>23.582532156854125</v>
      </c>
      <c r="G12" s="6">
        <f>VLOOKUP(Table2[[#This Row],[Away Team]],off_pts_lookup,7,FALSE)+VLOOKUP(Table2[[#This Row],[Home Team]],def_diff_lookup,14,FALSE)</f>
        <v>14.727746212121207</v>
      </c>
      <c r="H12" s="3">
        <f>VLOOKUP(Table2[[#This Row],[Home Team]],pace_lookup,5,FALSE)</f>
        <v>61.1</v>
      </c>
      <c r="I12" s="3">
        <f>VLOOKUP(Table2[[#This Row],[Away Team]],pace_lookup,5,FALSE)</f>
        <v>56.9</v>
      </c>
      <c r="J12" s="13">
        <f t="shared" si="3"/>
        <v>22</v>
      </c>
      <c r="K12">
        <v>44</v>
      </c>
      <c r="N12" s="33">
        <f>Table2[[#This Row],[Home EV]]+Table2[[#This Row],[Away EV]]</f>
        <v>38.310278368975332</v>
      </c>
      <c r="O12" s="13">
        <f t="shared" si="0"/>
        <v>-2</v>
      </c>
      <c r="P12">
        <v>-10.5</v>
      </c>
      <c r="R12" s="33"/>
      <c r="S12" s="33">
        <f t="shared" si="1"/>
        <v>-7.5062499999999996</v>
      </c>
      <c r="T12" s="33"/>
      <c r="U12" s="33"/>
      <c r="V12" s="33">
        <f>-VLOOKUP(Table2[[#This Row],[Home Team]],home_lookup,3,FALSE)-VLOOKUP(B12,lookup,2,FALSE)+VLOOKUP(C12,lookup,2,FALSE)</f>
        <v>-7.5547859447329149</v>
      </c>
      <c r="W12" s="1">
        <f t="shared" si="4"/>
        <v>5.5062499999999996</v>
      </c>
      <c r="X12" s="1">
        <f>Table2[[#This Row],[ERR (A)]]^2</f>
        <v>30.318789062499995</v>
      </c>
      <c r="Y12" s="1">
        <f t="shared" si="2"/>
        <v>5.5547859447329149</v>
      </c>
      <c r="Z12" s="1">
        <f>Table2[[#This Row],[ERR (B)]]^2</f>
        <v>30.855646891802341</v>
      </c>
      <c r="AA12" s="18">
        <f>Table2[[#This Row],[Pace (H)]]-Table2[[#This Row],[Pace (A)]]</f>
        <v>4.2000000000000028</v>
      </c>
      <c r="AB12" s="19">
        <f>Table2[[#This Row],[Total EV]]-Table2[[#Totals],[Total EV]]</f>
        <v>-10.561431442512294</v>
      </c>
      <c r="AC12" s="19">
        <f>Table2[[#This Row],[Total EV]]-Table2[[#This Row],[Total (V)]]</f>
        <v>-5.6897216310246677</v>
      </c>
      <c r="AD12" s="3">
        <f>Table2[[#This Row],[Margin (V)]]-Table2[[#This Row],[EV (A)]]</f>
        <v>-2.9937500000000004</v>
      </c>
      <c r="AE12" t="b">
        <f>IF(VLOOKUP(Table2[[#This Row],[Home Team]],division_lookup,2,FALSE)=VLOOKUP(Table2[[#This Row],[Away Team]],division_lookup,2,FALSE),TRUE, FALSE)</f>
        <v>0</v>
      </c>
    </row>
    <row r="13" spans="1:31" x14ac:dyDescent="0.25">
      <c r="A13">
        <v>1</v>
      </c>
      <c r="B13" t="s">
        <v>24</v>
      </c>
      <c r="C13" t="s">
        <v>23</v>
      </c>
      <c r="D13">
        <v>35</v>
      </c>
      <c r="E13">
        <v>39</v>
      </c>
      <c r="F13" s="6">
        <f>VLOOKUP(Table2[[#This Row],[Home Team]],home_lookup,3,FALSE)+VLOOKUP(Table2[[#This Row],[Home Team]],off_pts_lookup,7,FALSE)+VLOOKUP(Table2[[#This Row],[Away Team]],def_diff_lookup,14,FALSE)</f>
        <v>25.639095567205096</v>
      </c>
      <c r="G13" s="6">
        <f>VLOOKUP(Table2[[#This Row],[Away Team]],off_pts_lookup,7,FALSE)+VLOOKUP(Table2[[#This Row],[Home Team]],def_diff_lookup,14,FALSE)</f>
        <v>27.527746212121208</v>
      </c>
      <c r="H13" s="3">
        <f>VLOOKUP(Table2[[#This Row],[Home Team]],pace_lookup,5,FALSE)</f>
        <v>65.5</v>
      </c>
      <c r="I13" s="3">
        <f>VLOOKUP(Table2[[#This Row],[Away Team]],pace_lookup,5,FALSE)</f>
        <v>59.4</v>
      </c>
      <c r="J13" s="13">
        <f t="shared" si="3"/>
        <v>74</v>
      </c>
      <c r="K13">
        <v>51.5</v>
      </c>
      <c r="N13" s="33">
        <f>Table2[[#This Row],[Home EV]]+Table2[[#This Row],[Away EV]]</f>
        <v>53.166841779326305</v>
      </c>
      <c r="O13" s="13">
        <f t="shared" si="0"/>
        <v>4</v>
      </c>
      <c r="P13">
        <v>-2.5</v>
      </c>
      <c r="R13" s="33"/>
      <c r="S13" s="33">
        <f t="shared" si="1"/>
        <v>-0.90624999999999978</v>
      </c>
      <c r="T13" s="33"/>
      <c r="U13" s="33"/>
      <c r="V13" s="33">
        <f>-VLOOKUP(Table2[[#This Row],[Home Team]],home_lookup,3,FALSE)-VLOOKUP(B13,lookup,2,FALSE)+VLOOKUP(C13,lookup,2,FALSE)</f>
        <v>2.2886506449161104</v>
      </c>
      <c r="W13" s="1">
        <f t="shared" si="4"/>
        <v>4.90625</v>
      </c>
      <c r="X13" s="1">
        <f>Table2[[#This Row],[ERR (A)]]^2</f>
        <v>24.0712890625</v>
      </c>
      <c r="Y13" s="1">
        <f t="shared" si="2"/>
        <v>1.7113493550838896</v>
      </c>
      <c r="Z13" s="1">
        <f>Table2[[#This Row],[ERR (B)]]^2</f>
        <v>2.9287166151460449</v>
      </c>
      <c r="AA13" s="18">
        <f>Table2[[#This Row],[Pace (H)]]-Table2[[#This Row],[Pace (A)]]</f>
        <v>6.1000000000000014</v>
      </c>
      <c r="AB13" s="19">
        <f>Table2[[#This Row],[Total EV]]-Table2[[#Totals],[Total EV]]</f>
        <v>4.2951319678386781</v>
      </c>
      <c r="AC13" s="19">
        <f>Table2[[#This Row],[Total EV]]-Table2[[#This Row],[Total (V)]]</f>
        <v>1.6668417793263046</v>
      </c>
      <c r="AD13" s="3">
        <f>Table2[[#This Row],[Margin (V)]]-Table2[[#This Row],[EV (A)]]</f>
        <v>-1.5937500000000002</v>
      </c>
      <c r="AE13" t="b">
        <f>IF(VLOOKUP(Table2[[#This Row],[Home Team]],division_lookup,2,FALSE)=VLOOKUP(Table2[[#This Row],[Away Team]],division_lookup,2,FALSE),TRUE, FALSE)</f>
        <v>0</v>
      </c>
    </row>
    <row r="14" spans="1:31" x14ac:dyDescent="0.25">
      <c r="A14">
        <v>1</v>
      </c>
      <c r="B14" t="s">
        <v>26</v>
      </c>
      <c r="C14" t="s">
        <v>25</v>
      </c>
      <c r="D14">
        <v>19</v>
      </c>
      <c r="E14">
        <v>20</v>
      </c>
      <c r="F14" s="6">
        <f>VLOOKUP(Table2[[#This Row],[Home Team]],home_lookup,3,FALSE)+VLOOKUP(Table2[[#This Row],[Home Team]],off_pts_lookup,7,FALSE)+VLOOKUP(Table2[[#This Row],[Away Team]],def_diff_lookup,14,FALSE)</f>
        <v>25.736507972904356</v>
      </c>
      <c r="G14" s="6">
        <f>VLOOKUP(Table2[[#This Row],[Away Team]],off_pts_lookup,7,FALSE)+VLOOKUP(Table2[[#This Row],[Home Team]],def_diff_lookup,14,FALSE)</f>
        <v>16.227746212121211</v>
      </c>
      <c r="H14" s="3">
        <f>VLOOKUP(Table2[[#This Row],[Home Team]],pace_lookup,5,FALSE)</f>
        <v>66.5</v>
      </c>
      <c r="I14" s="3">
        <f>VLOOKUP(Table2[[#This Row],[Away Team]],pace_lookup,5,FALSE)</f>
        <v>62.6</v>
      </c>
      <c r="J14" s="13">
        <f t="shared" si="3"/>
        <v>39</v>
      </c>
      <c r="K14">
        <v>47.5</v>
      </c>
      <c r="N14" s="33">
        <f>Table2[[#This Row],[Home EV]]+Table2[[#This Row],[Away EV]]</f>
        <v>41.964254185025567</v>
      </c>
      <c r="O14" s="13">
        <f t="shared" si="0"/>
        <v>1</v>
      </c>
      <c r="P14">
        <v>1</v>
      </c>
      <c r="R14" s="33"/>
      <c r="S14" s="33">
        <f t="shared" si="1"/>
        <v>-10.00625</v>
      </c>
      <c r="T14" s="33"/>
      <c r="U14" s="33"/>
      <c r="V14" s="33">
        <f>-VLOOKUP(Table2[[#This Row],[Home Team]],home_lookup,3,FALSE)-VLOOKUP(B14,lookup,2,FALSE)+VLOOKUP(C14,lookup,2,FALSE)</f>
        <v>-7.2087617607831449</v>
      </c>
      <c r="W14" s="1">
        <f t="shared" si="4"/>
        <v>11.00625</v>
      </c>
      <c r="X14" s="1">
        <f>Table2[[#This Row],[ERR (A)]]^2</f>
        <v>121.1375390625</v>
      </c>
      <c r="Y14" s="1">
        <f t="shared" si="2"/>
        <v>8.208761760783144</v>
      </c>
      <c r="Z14" s="1">
        <f>Table2[[#This Row],[ERR (B)]]^2</f>
        <v>67.383769645295587</v>
      </c>
      <c r="AA14" s="18">
        <f>Table2[[#This Row],[Pace (H)]]-Table2[[#This Row],[Pace (A)]]</f>
        <v>3.8999999999999986</v>
      </c>
      <c r="AB14" s="19">
        <f>Table2[[#This Row],[Total EV]]-Table2[[#Totals],[Total EV]]</f>
        <v>-6.9074556264620597</v>
      </c>
      <c r="AC14" s="19">
        <f>Table2[[#This Row],[Total EV]]-Table2[[#This Row],[Total (V)]]</f>
        <v>-5.5357458149744332</v>
      </c>
      <c r="AD14" s="3">
        <f>Table2[[#This Row],[Margin (V)]]-Table2[[#This Row],[EV (A)]]</f>
        <v>11.00625</v>
      </c>
      <c r="AE14" t="b">
        <f>IF(VLOOKUP(Table2[[#This Row],[Home Team]],division_lookup,2,FALSE)=VLOOKUP(Table2[[#This Row],[Away Team]],division_lookup,2,FALSE),TRUE, FALSE)</f>
        <v>1</v>
      </c>
    </row>
    <row r="15" spans="1:31" x14ac:dyDescent="0.25">
      <c r="A15">
        <v>1</v>
      </c>
      <c r="B15" t="s">
        <v>28</v>
      </c>
      <c r="C15" t="s">
        <v>27</v>
      </c>
      <c r="D15">
        <v>21</v>
      </c>
      <c r="E15">
        <v>23</v>
      </c>
      <c r="F15" s="6">
        <f>VLOOKUP(Table2[[#This Row],[Home Team]],home_lookup,3,FALSE)+VLOOKUP(Table2[[#This Row],[Home Team]],off_pts_lookup,7,FALSE)+VLOOKUP(Table2[[#This Row],[Away Team]],def_diff_lookup,14,FALSE)</f>
        <v>23.182451190521775</v>
      </c>
      <c r="G15" s="6">
        <f>VLOOKUP(Table2[[#This Row],[Away Team]],off_pts_lookup,7,FALSE)+VLOOKUP(Table2[[#This Row],[Home Team]],def_diff_lookup,14,FALSE)</f>
        <v>23.227746212121211</v>
      </c>
      <c r="H15" s="3">
        <f>VLOOKUP(Table2[[#This Row],[Home Team]],pace_lookup,5,FALSE)</f>
        <v>71</v>
      </c>
      <c r="I15" s="3">
        <f>VLOOKUP(Table2[[#This Row],[Away Team]],pace_lookup,5,FALSE)</f>
        <v>63.9</v>
      </c>
      <c r="J15" s="13">
        <f t="shared" si="3"/>
        <v>44</v>
      </c>
      <c r="K15">
        <v>44</v>
      </c>
      <c r="N15" s="33">
        <f>Table2[[#This Row],[Home EV]]+Table2[[#This Row],[Away EV]]</f>
        <v>46.410197402642986</v>
      </c>
      <c r="O15" s="13">
        <f t="shared" si="0"/>
        <v>2</v>
      </c>
      <c r="P15">
        <v>-8.5</v>
      </c>
      <c r="R15" s="33"/>
      <c r="S15" s="33">
        <f t="shared" si="1"/>
        <v>3.6937500000000005</v>
      </c>
      <c r="T15" s="33"/>
      <c r="U15" s="33"/>
      <c r="V15" s="33">
        <f>-VLOOKUP(Table2[[#This Row],[Home Team]],home_lookup,3,FALSE)-VLOOKUP(B15,lookup,2,FALSE)+VLOOKUP(C15,lookup,2,FALSE)</f>
        <v>1.1452950215994395</v>
      </c>
      <c r="W15" s="1">
        <f t="shared" si="4"/>
        <v>-1.6937500000000005</v>
      </c>
      <c r="X15" s="1">
        <f>Table2[[#This Row],[ERR (A)]]^2</f>
        <v>2.8687890625000017</v>
      </c>
      <c r="Y15" s="1">
        <f t="shared" si="2"/>
        <v>0.85470497840056048</v>
      </c>
      <c r="Z15" s="1">
        <f>Table2[[#This Row],[ERR (B)]]^2</f>
        <v>0.73052060010270259</v>
      </c>
      <c r="AA15" s="18">
        <f>Table2[[#This Row],[Pace (H)]]-Table2[[#This Row],[Pace (A)]]</f>
        <v>7.1000000000000014</v>
      </c>
      <c r="AB15" s="19">
        <f>Table2[[#This Row],[Total EV]]-Table2[[#Totals],[Total EV]]</f>
        <v>-2.4615124088446407</v>
      </c>
      <c r="AC15" s="19">
        <f>Table2[[#This Row],[Total EV]]-Table2[[#This Row],[Total (V)]]</f>
        <v>2.4101974026429858</v>
      </c>
      <c r="AD15" s="3">
        <f>Table2[[#This Row],[Margin (V)]]-Table2[[#This Row],[EV (A)]]</f>
        <v>-12.193750000000001</v>
      </c>
      <c r="AE15" t="b">
        <f>IF(VLOOKUP(Table2[[#This Row],[Home Team]],division_lookup,2,FALSE)=VLOOKUP(Table2[[#This Row],[Away Team]],division_lookup,2,FALSE),TRUE, FALSE)</f>
        <v>0</v>
      </c>
    </row>
    <row r="16" spans="1:31" x14ac:dyDescent="0.25">
      <c r="A16">
        <v>1</v>
      </c>
      <c r="B16" t="s">
        <v>30</v>
      </c>
      <c r="C16" t="s">
        <v>29</v>
      </c>
      <c r="D16">
        <v>16</v>
      </c>
      <c r="E16">
        <v>38</v>
      </c>
      <c r="F16" s="6">
        <f>VLOOKUP(Table2[[#This Row],[Home Team]],home_lookup,3,FALSE)+VLOOKUP(Table2[[#This Row],[Home Team]],off_pts_lookup,7,FALSE)+VLOOKUP(Table2[[#This Row],[Away Team]],def_diff_lookup,14,FALSE)</f>
        <v>24.746488992114909</v>
      </c>
      <c r="G16" s="6">
        <f>VLOOKUP(Table2[[#This Row],[Away Team]],off_pts_lookup,7,FALSE)+VLOOKUP(Table2[[#This Row],[Home Team]],def_diff_lookup,14,FALSE)</f>
        <v>24.227746212121211</v>
      </c>
      <c r="H16" s="3">
        <f>VLOOKUP(Table2[[#This Row],[Home Team]],pace_lookup,5,FALSE)</f>
        <v>65.5</v>
      </c>
      <c r="I16" s="3">
        <f>VLOOKUP(Table2[[#This Row],[Away Team]],pace_lookup,5,FALSE)</f>
        <v>64.400000000000006</v>
      </c>
      <c r="J16" s="13">
        <f t="shared" si="3"/>
        <v>54</v>
      </c>
      <c r="K16">
        <v>49</v>
      </c>
      <c r="N16" s="33">
        <f>Table2[[#This Row],[Home EV]]+Table2[[#This Row],[Away EV]]</f>
        <v>48.974235204236123</v>
      </c>
      <c r="O16" s="13">
        <f t="shared" si="0"/>
        <v>22</v>
      </c>
      <c r="P16">
        <v>2.5</v>
      </c>
      <c r="R16" s="33"/>
      <c r="S16" s="33">
        <f t="shared" si="1"/>
        <v>-0.90625</v>
      </c>
      <c r="T16" s="33"/>
      <c r="U16" s="33"/>
      <c r="V16" s="33">
        <f>-VLOOKUP(Table2[[#This Row],[Home Team]],home_lookup,3,FALSE)-VLOOKUP(B16,lookup,2,FALSE)+VLOOKUP(C16,lookup,2,FALSE)</f>
        <v>1.2812572200063026</v>
      </c>
      <c r="W16" s="1">
        <f t="shared" si="4"/>
        <v>22.90625</v>
      </c>
      <c r="X16" s="1">
        <f>Table2[[#This Row],[ERR (A)]]^2</f>
        <v>524.6962890625</v>
      </c>
      <c r="Y16" s="1">
        <f t="shared" si="2"/>
        <v>20.718742779993697</v>
      </c>
      <c r="Z16" s="1">
        <f>Table2[[#This Row],[ERR (B)]]^2</f>
        <v>429.26630238354096</v>
      </c>
      <c r="AA16" s="18">
        <f>Table2[[#This Row],[Pace (H)]]-Table2[[#This Row],[Pace (A)]]</f>
        <v>1.0999999999999943</v>
      </c>
      <c r="AB16" s="19">
        <f>Table2[[#This Row],[Total EV]]-Table2[[#Totals],[Total EV]]</f>
        <v>0.10252539274849681</v>
      </c>
      <c r="AC16" s="19">
        <f>Table2[[#This Row],[Total EV]]-Table2[[#This Row],[Total (V)]]</f>
        <v>-2.5764795763876691E-2</v>
      </c>
      <c r="AD16" s="3">
        <f>Table2[[#This Row],[Margin (V)]]-Table2[[#This Row],[EV (A)]]</f>
        <v>3.40625</v>
      </c>
      <c r="AE16" t="b">
        <f>IF(VLOOKUP(Table2[[#This Row],[Home Team]],division_lookup,2,FALSE)=VLOOKUP(Table2[[#This Row],[Away Team]],division_lookup,2,FALSE),TRUE, FALSE)</f>
        <v>0</v>
      </c>
    </row>
    <row r="17" spans="1:31" ht="15.75" thickBot="1" x14ac:dyDescent="0.3">
      <c r="A17" s="9">
        <v>1</v>
      </c>
      <c r="B17" s="9" t="s">
        <v>31</v>
      </c>
      <c r="C17" s="9" t="s">
        <v>32</v>
      </c>
      <c r="D17" s="9">
        <v>28</v>
      </c>
      <c r="E17" s="9">
        <v>0</v>
      </c>
      <c r="F17" s="30">
        <f>VLOOKUP(Table2[[#This Row],[Home Team]],home_lookup,3,FALSE)+VLOOKUP(Table2[[#This Row],[Home Team]],off_pts_lookup,7,FALSE)+VLOOKUP(Table2[[#This Row],[Away Team]],def_diff_lookup,14,FALSE)</f>
        <v>25.99038224439332</v>
      </c>
      <c r="G17" s="30">
        <f>VLOOKUP(Table2[[#This Row],[Away Team]],off_pts_lookup,7,FALSE)+VLOOKUP(Table2[[#This Row],[Home Team]],def_diff_lookup,14,FALSE)</f>
        <v>23.327746212121205</v>
      </c>
      <c r="H17" s="15">
        <f>VLOOKUP(Table2[[#This Row],[Home Team]],pace_lookup,5,FALSE)</f>
        <v>63</v>
      </c>
      <c r="I17" s="15">
        <f>VLOOKUP(Table2[[#This Row],[Away Team]],pace_lookup,5,FALSE)</f>
        <v>62.2</v>
      </c>
      <c r="J17" s="14">
        <f t="shared" si="3"/>
        <v>28</v>
      </c>
      <c r="K17" s="9">
        <v>43.5</v>
      </c>
      <c r="L17" s="9"/>
      <c r="M17" s="9"/>
      <c r="N17" s="34">
        <f>Table2[[#This Row],[Home EV]]+Table2[[#This Row],[Away EV]]</f>
        <v>49.318128456514529</v>
      </c>
      <c r="O17" s="14">
        <f t="shared" si="0"/>
        <v>-28</v>
      </c>
      <c r="P17" s="9">
        <v>2.5</v>
      </c>
      <c r="Q17" s="9"/>
      <c r="R17" s="34"/>
      <c r="S17" s="34">
        <f t="shared" si="1"/>
        <v>2.0937500000000009</v>
      </c>
      <c r="T17" s="34"/>
      <c r="U17" s="34"/>
      <c r="V17" s="34">
        <f>-VLOOKUP(Table2[[#This Row],[Home Team]],home_lookup,3,FALSE)-VLOOKUP(B17,lookup,2,FALSE)+VLOOKUP(C17,lookup,2,FALSE)</f>
        <v>-4.7626360322721064</v>
      </c>
      <c r="W17" s="16">
        <f t="shared" si="4"/>
        <v>-30.09375</v>
      </c>
      <c r="X17" s="16">
        <f>Table2[[#This Row],[ERR (A)]]^2</f>
        <v>905.6337890625</v>
      </c>
      <c r="Y17" s="16">
        <f t="shared" si="2"/>
        <v>-23.237363967727894</v>
      </c>
      <c r="Z17" s="16">
        <f>Table2[[#This Row],[ERR (B)]]^2</f>
        <v>539.97508416865867</v>
      </c>
      <c r="AA17" s="24">
        <f>Table2[[#This Row],[Pace (H)]]-Table2[[#This Row],[Pace (A)]]</f>
        <v>0.79999999999999716</v>
      </c>
      <c r="AB17" s="15">
        <f>Table2[[#This Row],[Total EV]]-Table2[[#Totals],[Total EV]]</f>
        <v>0.44641864502690254</v>
      </c>
      <c r="AC17" s="15">
        <f>Table2[[#This Row],[Total EV]]-Table2[[#This Row],[Total (V)]]</f>
        <v>5.818128456514529</v>
      </c>
      <c r="AD17" s="15">
        <f>Table2[[#This Row],[Margin (V)]]-Table2[[#This Row],[EV (A)]]</f>
        <v>0.40624999999999911</v>
      </c>
      <c r="AE17" s="9" t="b">
        <f>IF(VLOOKUP(Table2[[#This Row],[Home Team]],division_lookup,2,FALSE)=VLOOKUP(Table2[[#This Row],[Away Team]],division_lookup,2,FALSE),TRUE, FALSE)</f>
        <v>1</v>
      </c>
    </row>
    <row r="18" spans="1:31" x14ac:dyDescent="0.25">
      <c r="A18">
        <v>2</v>
      </c>
      <c r="B18" t="s">
        <v>6</v>
      </c>
      <c r="C18" t="s">
        <v>8</v>
      </c>
      <c r="D18">
        <v>31</v>
      </c>
      <c r="E18">
        <v>37</v>
      </c>
      <c r="F18" s="6">
        <f>VLOOKUP(Table2[[#This Row],[Home Team]],home_lookup,3,FALSE)+VLOOKUP(Table2[[#This Row],[Home Team]],off_pts_lookup,7,FALSE)+VLOOKUP(Table2[[#This Row],[Away Team]],def_diff_lookup,14,FALSE)</f>
        <v>26.687084482675612</v>
      </c>
      <c r="G18" s="6">
        <f>VLOOKUP(Table2[[#This Row],[Away Team]],off_pts_lookup,7,FALSE)+VLOOKUP(Table2[[#This Row],[Home Team]],def_diff_lookup,14,FALSE)</f>
        <v>16.527746212121208</v>
      </c>
      <c r="H18" s="3">
        <f>VLOOKUP(Table2[[#This Row],[Home Team]],pace_lookup,5,FALSE)</f>
        <v>62.5</v>
      </c>
      <c r="I18" s="3">
        <f>VLOOKUP(Table2[[#This Row],[Away Team]],pace_lookup,5,FALSE)</f>
        <v>62.6</v>
      </c>
      <c r="J18" s="13">
        <f t="shared" si="3"/>
        <v>68</v>
      </c>
      <c r="K18">
        <v>40.5</v>
      </c>
      <c r="N18" s="33">
        <f>Table2[[#This Row],[Home EV]]+Table2[[#This Row],[Away EV]]</f>
        <v>43.214830694796817</v>
      </c>
      <c r="O18" s="13">
        <f t="shared" si="0"/>
        <v>6</v>
      </c>
      <c r="P18">
        <v>0</v>
      </c>
      <c r="Q1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8" s="33">
        <v>4.08</v>
      </c>
      <c r="S18" s="33">
        <f t="shared" si="1"/>
        <v>-13.40625</v>
      </c>
      <c r="T18" s="33"/>
      <c r="U18" s="33"/>
      <c r="V18" s="33">
        <f>-VLOOKUP(Table2[[#This Row],[Home Team]],home_lookup,3,FALSE)-VLOOKUP(B18,lookup,2,FALSE)+VLOOKUP(C18,lookup,2,FALSE)</f>
        <v>-10.359338270554401</v>
      </c>
      <c r="W18" s="1">
        <f t="shared" si="4"/>
        <v>19.40625</v>
      </c>
      <c r="X18" s="1">
        <f>Table2[[#This Row],[ERR (A)]]^2</f>
        <v>376.6025390625</v>
      </c>
      <c r="Y18" s="1">
        <f t="shared" si="2"/>
        <v>16.359338270554403</v>
      </c>
      <c r="Z18" s="1">
        <f>Table2[[#This Row],[ERR (B)]]^2</f>
        <v>267.62794865042594</v>
      </c>
      <c r="AA18" s="18">
        <f>Table2[[#This Row],[Pace (H)]]-Table2[[#This Row],[Pace (A)]]</f>
        <v>-0.10000000000000142</v>
      </c>
      <c r="AB18" s="19">
        <f>Table2[[#This Row],[Total EV]]-Table2[[#Totals],[Total EV]]</f>
        <v>-5.6568791166908099</v>
      </c>
      <c r="AC18" s="19">
        <f>Table2[[#This Row],[Total EV]]-Table2[[#This Row],[Total (V)]]</f>
        <v>2.7148306947968166</v>
      </c>
      <c r="AD18" s="3">
        <f>Table2[[#This Row],[Margin (V)]]-Table2[[#This Row],[EV (A)]]</f>
        <v>13.40625</v>
      </c>
      <c r="AE18" t="b">
        <f>IF(VLOOKUP(Table2[[#This Row],[Home Team]],division_lookup,2,FALSE)=VLOOKUP(Table2[[#This Row],[Away Team]],division_lookup,2,FALSE),TRUE, FALSE)</f>
        <v>1</v>
      </c>
    </row>
    <row r="19" spans="1:31" x14ac:dyDescent="0.25">
      <c r="A19">
        <v>2</v>
      </c>
      <c r="B19" t="s">
        <v>27</v>
      </c>
      <c r="C19" t="s">
        <v>22</v>
      </c>
      <c r="D19">
        <v>31</v>
      </c>
      <c r="E19">
        <v>24</v>
      </c>
      <c r="F19" s="6">
        <f>VLOOKUP(Table2[[#This Row],[Home Team]],home_lookup,3,FALSE)+VLOOKUP(Table2[[#This Row],[Home Team]],off_pts_lookup,7,FALSE)+VLOOKUP(Table2[[#This Row],[Away Team]],def_diff_lookup,14,FALSE)</f>
        <v>23.728349840877144</v>
      </c>
      <c r="G19" s="6">
        <f>VLOOKUP(Table2[[#This Row],[Away Team]],off_pts_lookup,7,FALSE)+VLOOKUP(Table2[[#This Row],[Home Team]],def_diff_lookup,14,FALSE)</f>
        <v>16.927746212121214</v>
      </c>
      <c r="H19" s="3">
        <f>VLOOKUP(Table2[[#This Row],[Home Team]],pace_lookup,5,FALSE)</f>
        <v>63.9</v>
      </c>
      <c r="I19" s="3">
        <f>VLOOKUP(Table2[[#This Row],[Away Team]],pace_lookup,5,FALSE)</f>
        <v>56.9</v>
      </c>
      <c r="J19" s="13">
        <f t="shared" si="3"/>
        <v>55</v>
      </c>
      <c r="K19">
        <v>42</v>
      </c>
      <c r="N19" s="33">
        <f>Table2[[#This Row],[Home EV]]+Table2[[#This Row],[Away EV]]</f>
        <v>40.656096052998357</v>
      </c>
      <c r="O19" s="13">
        <f t="shared" si="0"/>
        <v>-7</v>
      </c>
      <c r="P19">
        <v>-5.5</v>
      </c>
      <c r="Q1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9" s="33">
        <v>-2.4900000000000002</v>
      </c>
      <c r="S19" s="33">
        <f t="shared" si="1"/>
        <v>-11.706250000000001</v>
      </c>
      <c r="T19" s="33"/>
      <c r="U19" s="33"/>
      <c r="V19" s="33">
        <f>-VLOOKUP(Table2[[#This Row],[Home Team]],home_lookup,3,FALSE)-VLOOKUP(B19,lookup,2,FALSE)+VLOOKUP(C19,lookup,2,FALSE)</f>
        <v>-6.7006036287559301</v>
      </c>
      <c r="W19" s="1">
        <f t="shared" si="4"/>
        <v>4.7062500000000007</v>
      </c>
      <c r="X19" s="1">
        <f>Table2[[#This Row],[ERR (A)]]^2</f>
        <v>22.148789062500008</v>
      </c>
      <c r="Y19" s="1">
        <f t="shared" si="2"/>
        <v>-0.29939637124406993</v>
      </c>
      <c r="Z19" s="1">
        <f>Table2[[#This Row],[ERR (B)]]^2</f>
        <v>8.9638187114116946E-2</v>
      </c>
      <c r="AA19" s="18">
        <f>Table2[[#This Row],[Pace (H)]]-Table2[[#This Row],[Pace (A)]]</f>
        <v>7</v>
      </c>
      <c r="AB19" s="19">
        <f>Table2[[#This Row],[Total EV]]-Table2[[#Totals],[Total EV]]</f>
        <v>-8.215613758489269</v>
      </c>
      <c r="AC19" s="19">
        <f>Table2[[#This Row],[Total EV]]-Table2[[#This Row],[Total (V)]]</f>
        <v>-1.3439039470016425</v>
      </c>
      <c r="AD19" s="3">
        <f>Table2[[#This Row],[Margin (V)]]-Table2[[#This Row],[EV (A)]]</f>
        <v>6.2062500000000007</v>
      </c>
      <c r="AE19" t="b">
        <f>IF(VLOOKUP(Table2[[#This Row],[Home Team]],division_lookup,2,FALSE)=VLOOKUP(Table2[[#This Row],[Away Team]],division_lookup,2,FALSE),TRUE, FALSE)</f>
        <v>1</v>
      </c>
    </row>
    <row r="20" spans="1:31" x14ac:dyDescent="0.25">
      <c r="A20">
        <v>2</v>
      </c>
      <c r="B20" t="s">
        <v>23</v>
      </c>
      <c r="C20" t="s">
        <v>12</v>
      </c>
      <c r="D20">
        <v>15</v>
      </c>
      <c r="E20">
        <v>16</v>
      </c>
      <c r="F20" s="6">
        <f>VLOOKUP(Table2[[#This Row],[Home Team]],home_lookup,3,FALSE)+VLOOKUP(Table2[[#This Row],[Home Team]],off_pts_lookup,7,FALSE)+VLOOKUP(Table2[[#This Row],[Away Team]],def_diff_lookup,14,FALSE)</f>
        <v>28.680805612513669</v>
      </c>
      <c r="G20" s="6">
        <f>VLOOKUP(Table2[[#This Row],[Away Team]],off_pts_lookup,7,FALSE)+VLOOKUP(Table2[[#This Row],[Home Team]],def_diff_lookup,14,FALSE)</f>
        <v>25.173200757575753</v>
      </c>
      <c r="H20" s="3">
        <f>VLOOKUP(Table2[[#This Row],[Home Team]],pace_lookup,5,FALSE)</f>
        <v>59.4</v>
      </c>
      <c r="I20" s="3">
        <f>VLOOKUP(Table2[[#This Row],[Away Team]],pace_lookup,5,FALSE)</f>
        <v>63.909090909090907</v>
      </c>
      <c r="J20" s="13">
        <f t="shared" si="3"/>
        <v>31</v>
      </c>
      <c r="K20">
        <v>48</v>
      </c>
      <c r="N20" s="33">
        <f>Table2[[#This Row],[Home EV]]+Table2[[#This Row],[Away EV]]</f>
        <v>53.854006370089422</v>
      </c>
      <c r="O20" s="13">
        <f t="shared" si="0"/>
        <v>1</v>
      </c>
      <c r="P20">
        <v>-6</v>
      </c>
      <c r="Q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0" s="33">
        <v>-3.68</v>
      </c>
      <c r="S20" s="33">
        <f t="shared" si="1"/>
        <v>-3.1062500000000002</v>
      </c>
      <c r="T20" s="33"/>
      <c r="U20" s="33"/>
      <c r="V20" s="33">
        <f>-VLOOKUP(Table2[[#This Row],[Home Team]],home_lookup,3,FALSE)-VLOOKUP(B20,lookup,2,FALSE)+VLOOKUP(C20,lookup,2,FALSE)</f>
        <v>-3.6530594003924581</v>
      </c>
      <c r="W20" s="1">
        <f t="shared" si="4"/>
        <v>4.1062500000000002</v>
      </c>
      <c r="X20" s="1">
        <f>Table2[[#This Row],[ERR (A)]]^2</f>
        <v>16.861289062500003</v>
      </c>
      <c r="Y20" s="1">
        <f t="shared" si="2"/>
        <v>4.6530594003924577</v>
      </c>
      <c r="Z20" s="1">
        <f>Table2[[#This Row],[ERR (B)]]^2</f>
        <v>21.65096178358062</v>
      </c>
      <c r="AA20" s="18">
        <f>Table2[[#This Row],[Pace (H)]]-Table2[[#This Row],[Pace (A)]]</f>
        <v>-4.5090909090909079</v>
      </c>
      <c r="AB20" s="19">
        <f>Table2[[#This Row],[Total EV]]-Table2[[#Totals],[Total EV]]</f>
        <v>4.9822965586017958</v>
      </c>
      <c r="AC20" s="19">
        <f>Table2[[#This Row],[Total EV]]-Table2[[#This Row],[Total (V)]]</f>
        <v>5.8540063700894223</v>
      </c>
      <c r="AD20" s="3">
        <f>Table2[[#This Row],[Margin (V)]]-Table2[[#This Row],[EV (A)]]</f>
        <v>-2.8937499999999998</v>
      </c>
      <c r="AE20" t="b">
        <f>IF(VLOOKUP(Table2[[#This Row],[Home Team]],division_lookup,2,FALSE)=VLOOKUP(Table2[[#This Row],[Away Team]],division_lookup,2,FALSE),TRUE, FALSE)</f>
        <v>0</v>
      </c>
    </row>
    <row r="21" spans="1:31" x14ac:dyDescent="0.25">
      <c r="A21">
        <v>2</v>
      </c>
      <c r="B21" t="s">
        <v>14</v>
      </c>
      <c r="C21" t="s">
        <v>5</v>
      </c>
      <c r="D21">
        <v>20</v>
      </c>
      <c r="E21">
        <v>25</v>
      </c>
      <c r="F21" s="6">
        <f>VLOOKUP(Table2[[#This Row],[Home Team]],home_lookup,3,FALSE)+VLOOKUP(Table2[[#This Row],[Home Team]],off_pts_lookup,7,FALSE)+VLOOKUP(Table2[[#This Row],[Away Team]],def_diff_lookup,14,FALSE)</f>
        <v>12.414356909282237</v>
      </c>
      <c r="G21" s="6">
        <f>VLOOKUP(Table2[[#This Row],[Away Team]],off_pts_lookup,7,FALSE)+VLOOKUP(Table2[[#This Row],[Home Team]],def_diff_lookup,14,FALSE)</f>
        <v>26.573200757575755</v>
      </c>
      <c r="H21" s="3">
        <f>VLOOKUP(Table2[[#This Row],[Home Team]],pace_lookup,5,FALSE)</f>
        <v>60.090909090909093</v>
      </c>
      <c r="I21" s="3">
        <f>VLOOKUP(Table2[[#This Row],[Away Team]],pace_lookup,5,FALSE)</f>
        <v>67.400000000000006</v>
      </c>
      <c r="J21" s="13">
        <f t="shared" si="3"/>
        <v>45</v>
      </c>
      <c r="K21">
        <v>42</v>
      </c>
      <c r="N21" s="33">
        <f>Table2[[#This Row],[Home EV]]+Table2[[#This Row],[Away EV]]</f>
        <v>38.987557666857995</v>
      </c>
      <c r="O21" s="13">
        <f t="shared" si="0"/>
        <v>5</v>
      </c>
      <c r="P21">
        <v>4.5</v>
      </c>
      <c r="Q2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1" s="33">
        <v>8.2899999999999991</v>
      </c>
      <c r="S21" s="33">
        <f t="shared" si="1"/>
        <v>7.1937499999999996</v>
      </c>
      <c r="T21" s="33"/>
      <c r="U21" s="33"/>
      <c r="V21" s="33">
        <f>-VLOOKUP(Table2[[#This Row],[Home Team]],home_lookup,3,FALSE)-VLOOKUP(B21,lookup,2,FALSE)+VLOOKUP(C21,lookup,2,FALSE)</f>
        <v>10.2406620301117</v>
      </c>
      <c r="W21" s="1">
        <f t="shared" si="4"/>
        <v>-2.1937499999999996</v>
      </c>
      <c r="X21" s="1">
        <f>Table2[[#This Row],[ERR (A)]]^2</f>
        <v>4.8125390624999982</v>
      </c>
      <c r="Y21" s="1">
        <f t="shared" si="2"/>
        <v>-5.2406620301117002</v>
      </c>
      <c r="Z21" s="1">
        <f>Table2[[#This Row],[ERR (B)]]^2</f>
        <v>27.464538513854485</v>
      </c>
      <c r="AA21" s="18">
        <f>Table2[[#This Row],[Pace (H)]]-Table2[[#This Row],[Pace (A)]]</f>
        <v>-7.3090909090909122</v>
      </c>
      <c r="AB21" s="19">
        <f>Table2[[#This Row],[Total EV]]-Table2[[#Totals],[Total EV]]</f>
        <v>-9.8841521446296312</v>
      </c>
      <c r="AC21" s="19">
        <f>Table2[[#This Row],[Total EV]]-Table2[[#This Row],[Total (V)]]</f>
        <v>-3.0124423331420047</v>
      </c>
      <c r="AD21" s="3">
        <f>Table2[[#This Row],[Margin (V)]]-Table2[[#This Row],[EV (A)]]</f>
        <v>-2.6937499999999996</v>
      </c>
      <c r="AE21" t="b">
        <f>IF(VLOOKUP(Table2[[#This Row],[Home Team]],division_lookup,2,FALSE)=VLOOKUP(Table2[[#This Row],[Away Team]],division_lookup,2,FALSE),TRUE, FALSE)</f>
        <v>1</v>
      </c>
    </row>
    <row r="22" spans="1:31" x14ac:dyDescent="0.25">
      <c r="A22">
        <v>2</v>
      </c>
      <c r="B22" t="s">
        <v>9</v>
      </c>
      <c r="C22" t="s">
        <v>17</v>
      </c>
      <c r="D22">
        <v>19</v>
      </c>
      <c r="E22">
        <v>12</v>
      </c>
      <c r="F22" s="6">
        <f>VLOOKUP(Table2[[#This Row],[Home Team]],home_lookup,3,FALSE)+VLOOKUP(Table2[[#This Row],[Home Team]],off_pts_lookup,7,FALSE)+VLOOKUP(Table2[[#This Row],[Away Team]],def_diff_lookup,14,FALSE)</f>
        <v>21.820294441319128</v>
      </c>
      <c r="G22" s="6">
        <f>VLOOKUP(Table2[[#This Row],[Away Team]],off_pts_lookup,7,FALSE)+VLOOKUP(Table2[[#This Row],[Home Team]],def_diff_lookup,14,FALSE)</f>
        <v>20.216635101010095</v>
      </c>
      <c r="H22" s="3">
        <f>VLOOKUP(Table2[[#This Row],[Home Team]],pace_lookup,5,FALSE)</f>
        <v>65.777777777777771</v>
      </c>
      <c r="I22" s="3">
        <f>VLOOKUP(Table2[[#This Row],[Away Team]],pace_lookup,5,FALSE)</f>
        <v>62.1</v>
      </c>
      <c r="J22" s="13">
        <f t="shared" si="3"/>
        <v>31</v>
      </c>
      <c r="K22">
        <v>42</v>
      </c>
      <c r="N22" s="33">
        <f>Table2[[#This Row],[Home EV]]+Table2[[#This Row],[Away EV]]</f>
        <v>42.036929542329219</v>
      </c>
      <c r="O22" s="13">
        <f t="shared" si="0"/>
        <v>-7</v>
      </c>
      <c r="P22">
        <v>-1</v>
      </c>
      <c r="Q2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22" s="33">
        <v>8.43</v>
      </c>
      <c r="S22" s="33">
        <f t="shared" si="1"/>
        <v>3.8937500000000003</v>
      </c>
      <c r="T22" s="33"/>
      <c r="U22" s="33"/>
      <c r="V22" s="33">
        <f>-VLOOKUP(Table2[[#This Row],[Home Team]],home_lookup,3,FALSE)-VLOOKUP(B22,lookup,2,FALSE)+VLOOKUP(C22,lookup,2,FALSE)</f>
        <v>-1.3036593403090291</v>
      </c>
      <c r="W22" s="1">
        <f t="shared" si="4"/>
        <v>-10.893750000000001</v>
      </c>
      <c r="X22" s="1">
        <f>Table2[[#This Row],[ERR (A)]]^2</f>
        <v>118.67378906250002</v>
      </c>
      <c r="Y22" s="1">
        <f t="shared" si="2"/>
        <v>-5.6963406596909714</v>
      </c>
      <c r="Z22" s="1">
        <f>Table2[[#This Row],[ERR (B)]]^2</f>
        <v>32.448296911248569</v>
      </c>
      <c r="AA22" s="18">
        <f>Table2[[#This Row],[Pace (H)]]-Table2[[#This Row],[Pace (A)]]</f>
        <v>3.67777777777777</v>
      </c>
      <c r="AB22" s="19">
        <f>Table2[[#This Row],[Total EV]]-Table2[[#Totals],[Total EV]]</f>
        <v>-6.8347802691584079</v>
      </c>
      <c r="AC22" s="19">
        <f>Table2[[#This Row],[Total EV]]-Table2[[#This Row],[Total (V)]]</f>
        <v>3.6929542329218634E-2</v>
      </c>
      <c r="AD22" s="3">
        <f>Table2[[#This Row],[Margin (V)]]-Table2[[#This Row],[EV (A)]]</f>
        <v>-4.8937500000000007</v>
      </c>
      <c r="AE22" t="b">
        <f>IF(VLOOKUP(Table2[[#This Row],[Home Team]],division_lookup,2,FALSE)=VLOOKUP(Table2[[#This Row],[Away Team]],division_lookup,2,FALSE),TRUE, FALSE)</f>
        <v>0</v>
      </c>
    </row>
    <row r="23" spans="1:31" x14ac:dyDescent="0.25">
      <c r="A23">
        <v>2</v>
      </c>
      <c r="B23" t="s">
        <v>29</v>
      </c>
      <c r="C23" t="s">
        <v>7</v>
      </c>
      <c r="D23">
        <v>24</v>
      </c>
      <c r="E23">
        <v>16</v>
      </c>
      <c r="F23" s="6">
        <f>VLOOKUP(Table2[[#This Row],[Home Team]],home_lookup,3,FALSE)+VLOOKUP(Table2[[#This Row],[Home Team]],off_pts_lookup,7,FALSE)+VLOOKUP(Table2[[#This Row],[Away Team]],def_diff_lookup,14,FALSE)</f>
        <v>31.009891187319468</v>
      </c>
      <c r="G23" s="6">
        <f>VLOOKUP(Table2[[#This Row],[Away Team]],off_pts_lookup,7,FALSE)+VLOOKUP(Table2[[#This Row],[Home Team]],def_diff_lookup,14,FALSE)</f>
        <v>18.527746212121212</v>
      </c>
      <c r="H23" s="3">
        <f>VLOOKUP(Table2[[#This Row],[Home Team]],pace_lookup,5,FALSE)</f>
        <v>64.400000000000006</v>
      </c>
      <c r="I23" s="3">
        <f>VLOOKUP(Table2[[#This Row],[Away Team]],pace_lookup,5,FALSE)</f>
        <v>65.900000000000006</v>
      </c>
      <c r="J23" s="13">
        <f t="shared" si="3"/>
        <v>40</v>
      </c>
      <c r="K23">
        <v>48</v>
      </c>
      <c r="N23" s="33">
        <f>Table2[[#This Row],[Home EV]]+Table2[[#This Row],[Away EV]]</f>
        <v>49.537637399440683</v>
      </c>
      <c r="O23" s="13">
        <f t="shared" si="0"/>
        <v>-8</v>
      </c>
      <c r="P23">
        <v>-3</v>
      </c>
      <c r="Q2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3" s="33">
        <v>-23.3</v>
      </c>
      <c r="S23" s="33">
        <f t="shared" si="1"/>
        <v>-6.90625</v>
      </c>
      <c r="T23" s="33"/>
      <c r="U23" s="33"/>
      <c r="V23" s="33">
        <f>-VLOOKUP(Table2[[#This Row],[Home Team]],home_lookup,3,FALSE)-VLOOKUP(B23,lookup,2,FALSE)+VLOOKUP(C23,lookup,2,FALSE)</f>
        <v>-11.482144975198256</v>
      </c>
      <c r="W23" s="1">
        <f t="shared" si="4"/>
        <v>-1.09375</v>
      </c>
      <c r="X23" s="1">
        <f>Table2[[#This Row],[ERR (A)]]^2</f>
        <v>1.1962890625</v>
      </c>
      <c r="Y23" s="1">
        <f t="shared" si="2"/>
        <v>3.4821449751982563</v>
      </c>
      <c r="Z23" s="1">
        <f>Table2[[#This Row],[ERR (B)]]^2</f>
        <v>12.125333628298465</v>
      </c>
      <c r="AA23" s="18">
        <f>Table2[[#This Row],[Pace (H)]]-Table2[[#This Row],[Pace (A)]]</f>
        <v>-1.5</v>
      </c>
      <c r="AB23" s="19">
        <f>Table2[[#This Row],[Total EV]]-Table2[[#Totals],[Total EV]]</f>
        <v>0.66592758795305684</v>
      </c>
      <c r="AC23" s="19">
        <f>Table2[[#This Row],[Total EV]]-Table2[[#This Row],[Total (V)]]</f>
        <v>1.5376373994406833</v>
      </c>
      <c r="AD23" s="3">
        <f>Table2[[#This Row],[Margin (V)]]-Table2[[#This Row],[EV (A)]]</f>
        <v>3.90625</v>
      </c>
      <c r="AE23" t="b">
        <f>IF(VLOOKUP(Table2[[#This Row],[Home Team]],division_lookup,2,FALSE)=VLOOKUP(Table2[[#This Row],[Away Team]],division_lookup,2,FALSE),TRUE, FALSE)</f>
        <v>1</v>
      </c>
    </row>
    <row r="24" spans="1:31" x14ac:dyDescent="0.25">
      <c r="A24">
        <v>2</v>
      </c>
      <c r="B24" t="s">
        <v>30</v>
      </c>
      <c r="C24" t="s">
        <v>26</v>
      </c>
      <c r="D24">
        <v>23</v>
      </c>
      <c r="E24">
        <v>27</v>
      </c>
      <c r="F24" s="6">
        <f>VLOOKUP(Table2[[#This Row],[Home Team]],home_lookup,3,FALSE)+VLOOKUP(Table2[[#This Row],[Home Team]],off_pts_lookup,7,FALSE)+VLOOKUP(Table2[[#This Row],[Away Team]],def_diff_lookup,14,FALSE)</f>
        <v>21.946488992114908</v>
      </c>
      <c r="G24" s="6">
        <f>VLOOKUP(Table2[[#This Row],[Away Team]],off_pts_lookup,7,FALSE)+VLOOKUP(Table2[[#This Row],[Home Team]],def_diff_lookup,14,FALSE)</f>
        <v>28.92774621212121</v>
      </c>
      <c r="H24" s="3">
        <f>VLOOKUP(Table2[[#This Row],[Home Team]],pace_lookup,5,FALSE)</f>
        <v>65.5</v>
      </c>
      <c r="I24" s="3">
        <f>VLOOKUP(Table2[[#This Row],[Away Team]],pace_lookup,5,FALSE)</f>
        <v>66.5</v>
      </c>
      <c r="J24" s="13">
        <f t="shared" si="3"/>
        <v>50</v>
      </c>
      <c r="K24">
        <v>47</v>
      </c>
      <c r="N24" s="33">
        <f>Table2[[#This Row],[Home EV]]+Table2[[#This Row],[Away EV]]</f>
        <v>50.874235204236115</v>
      </c>
      <c r="O24" s="13">
        <f t="shared" si="0"/>
        <v>4</v>
      </c>
      <c r="P24">
        <v>-3</v>
      </c>
      <c r="Q2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4" s="33">
        <v>-2.04</v>
      </c>
      <c r="S24" s="33">
        <f t="shared" si="1"/>
        <v>4.09375</v>
      </c>
      <c r="T24" s="33"/>
      <c r="U24" s="33"/>
      <c r="V24" s="33">
        <f>-VLOOKUP(Table2[[#This Row],[Home Team]],home_lookup,3,FALSE)-VLOOKUP(B24,lookup,2,FALSE)+VLOOKUP(C24,lookup,2,FALSE)</f>
        <v>6.281257220006303</v>
      </c>
      <c r="W24" s="1">
        <f t="shared" si="4"/>
        <v>-9.375E-2</v>
      </c>
      <c r="X24" s="1">
        <f>Table2[[#This Row],[ERR (A)]]^2</f>
        <v>8.7890625E-3</v>
      </c>
      <c r="Y24" s="1">
        <f t="shared" si="2"/>
        <v>-2.281257220006303</v>
      </c>
      <c r="Z24" s="1">
        <f>Table2[[#This Row],[ERR (B)]]^2</f>
        <v>5.2041345038308862</v>
      </c>
      <c r="AA24" s="18">
        <f>Table2[[#This Row],[Pace (H)]]-Table2[[#This Row],[Pace (A)]]</f>
        <v>-1</v>
      </c>
      <c r="AB24" s="19">
        <f>Table2[[#This Row],[Total EV]]-Table2[[#Totals],[Total EV]]</f>
        <v>2.0025253927484883</v>
      </c>
      <c r="AC24" s="19">
        <f>Table2[[#This Row],[Total EV]]-Table2[[#This Row],[Total (V)]]</f>
        <v>3.8742352042361148</v>
      </c>
      <c r="AD24" s="3">
        <f>Table2[[#This Row],[Margin (V)]]-Table2[[#This Row],[EV (A)]]</f>
        <v>-7.09375</v>
      </c>
      <c r="AE24" t="b">
        <f>IF(VLOOKUP(Table2[[#This Row],[Home Team]],division_lookup,2,FALSE)=VLOOKUP(Table2[[#This Row],[Away Team]],division_lookup,2,FALSE),TRUE, FALSE)</f>
        <v>1</v>
      </c>
    </row>
    <row r="25" spans="1:31" x14ac:dyDescent="0.25">
      <c r="A25">
        <v>2</v>
      </c>
      <c r="B25" t="s">
        <v>2</v>
      </c>
      <c r="C25" t="s">
        <v>31</v>
      </c>
      <c r="D25">
        <v>46</v>
      </c>
      <c r="E25">
        <v>27</v>
      </c>
      <c r="F25" s="6">
        <f>VLOOKUP(Table2[[#This Row],[Home Team]],home_lookup,3,FALSE)+VLOOKUP(Table2[[#This Row],[Home Team]],off_pts_lookup,7,FALSE)+VLOOKUP(Table2[[#This Row],[Away Team]],def_diff_lookup,14,FALSE)</f>
        <v>34.780811574940529</v>
      </c>
      <c r="G25" s="6">
        <f>VLOOKUP(Table2[[#This Row],[Away Team]],off_pts_lookup,7,FALSE)+VLOOKUP(Table2[[#This Row],[Home Team]],def_diff_lookup,14,FALSE)</f>
        <v>22.127746212121213</v>
      </c>
      <c r="H25" s="3">
        <f>VLOOKUP(Table2[[#This Row],[Home Team]],pace_lookup,5,FALSE)</f>
        <v>66.8</v>
      </c>
      <c r="I25" s="3">
        <f>VLOOKUP(Table2[[#This Row],[Away Team]],pace_lookup,5,FALSE)</f>
        <v>63</v>
      </c>
      <c r="J25" s="13">
        <f t="shared" si="3"/>
        <v>73</v>
      </c>
      <c r="K25">
        <v>44.5</v>
      </c>
      <c r="N25" s="33">
        <f>Table2[[#This Row],[Home EV]]+Table2[[#This Row],[Away EV]]</f>
        <v>56.908557787061739</v>
      </c>
      <c r="O25" s="13">
        <f t="shared" si="0"/>
        <v>-19</v>
      </c>
      <c r="P25">
        <v>-12.5</v>
      </c>
      <c r="Q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25" s="33">
        <v>12.67</v>
      </c>
      <c r="S25" s="33">
        <f t="shared" si="1"/>
        <v>-12.006250000000001</v>
      </c>
      <c r="T25" s="33"/>
      <c r="U25" s="33"/>
      <c r="V25" s="33">
        <f>-VLOOKUP(Table2[[#This Row],[Home Team]],home_lookup,3,FALSE)-VLOOKUP(B25,lookup,2,FALSE)+VLOOKUP(C25,lookup,2,FALSE)</f>
        <v>-11.053065362819323</v>
      </c>
      <c r="W25" s="1">
        <f t="shared" si="4"/>
        <v>-6.9937499999999986</v>
      </c>
      <c r="X25" s="1">
        <f>Table2[[#This Row],[ERR (A)]]^2</f>
        <v>48.912539062499981</v>
      </c>
      <c r="Y25" s="1">
        <f t="shared" si="2"/>
        <v>-7.9469346371806768</v>
      </c>
      <c r="Z25" s="1">
        <f>Table2[[#This Row],[ERR (B)]]^2</f>
        <v>63.153770127621975</v>
      </c>
      <c r="AA25" s="18">
        <f>Table2[[#This Row],[Pace (H)]]-Table2[[#This Row],[Pace (A)]]</f>
        <v>3.7999999999999972</v>
      </c>
      <c r="AB25" s="19">
        <f>Table2[[#This Row],[Total EV]]-Table2[[#Totals],[Total EV]]</f>
        <v>8.036847975574112</v>
      </c>
      <c r="AC25" s="19">
        <f>Table2[[#This Row],[Total EV]]-Table2[[#This Row],[Total (V)]]</f>
        <v>12.408557787061739</v>
      </c>
      <c r="AD25" s="3">
        <f>Table2[[#This Row],[Margin (V)]]-Table2[[#This Row],[EV (A)]]</f>
        <v>-0.49374999999999858</v>
      </c>
      <c r="AE25" t="b">
        <f>IF(VLOOKUP(Table2[[#This Row],[Home Team]],division_lookup,2,FALSE)=VLOOKUP(Table2[[#This Row],[Away Team]],division_lookup,2,FALSE),TRUE, FALSE)</f>
        <v>0</v>
      </c>
    </row>
    <row r="26" spans="1:31" x14ac:dyDescent="0.25">
      <c r="A26">
        <v>2</v>
      </c>
      <c r="B26" t="s">
        <v>25</v>
      </c>
      <c r="C26" t="s">
        <v>16</v>
      </c>
      <c r="D26">
        <v>16</v>
      </c>
      <c r="E26">
        <v>13</v>
      </c>
      <c r="F26" s="6">
        <f>VLOOKUP(Table2[[#This Row],[Home Team]],home_lookup,3,FALSE)+VLOOKUP(Table2[[#This Row],[Home Team]],off_pts_lookup,7,FALSE)+VLOOKUP(Table2[[#This Row],[Away Team]],def_diff_lookup,14,FALSE)</f>
        <v>29.270875024346321</v>
      </c>
      <c r="G26" s="6">
        <f>VLOOKUP(Table2[[#This Row],[Away Team]],off_pts_lookup,7,FALSE)+VLOOKUP(Table2[[#This Row],[Home Team]],def_diff_lookup,14,FALSE)</f>
        <v>25.62774621212121</v>
      </c>
      <c r="H26" s="3">
        <f>VLOOKUP(Table2[[#This Row],[Home Team]],pace_lookup,5,FALSE)</f>
        <v>62.6</v>
      </c>
      <c r="I26" s="3">
        <f>VLOOKUP(Table2[[#This Row],[Away Team]],pace_lookup,5,FALSE)</f>
        <v>69.400000000000006</v>
      </c>
      <c r="J26" s="13">
        <f t="shared" si="3"/>
        <v>29</v>
      </c>
      <c r="K26">
        <v>54.5</v>
      </c>
      <c r="N26" s="33">
        <f>Table2[[#This Row],[Home EV]]+Table2[[#This Row],[Away EV]]</f>
        <v>54.898621236467534</v>
      </c>
      <c r="O26" s="13">
        <f t="shared" si="0"/>
        <v>-3</v>
      </c>
      <c r="P26">
        <v>-4</v>
      </c>
      <c r="Q2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6" s="33">
        <v>-1.48</v>
      </c>
      <c r="S26" s="33">
        <f t="shared" si="1"/>
        <v>-2.2062499999999998</v>
      </c>
      <c r="T26" s="33"/>
      <c r="U26" s="33"/>
      <c r="V26" s="33">
        <f>-VLOOKUP(Table2[[#This Row],[Home Team]],home_lookup,3,FALSE)-VLOOKUP(B26,lookup,2,FALSE)+VLOOKUP(C26,lookup,2,FALSE)</f>
        <v>-2.4431288122251074</v>
      </c>
      <c r="W26" s="1">
        <f t="shared" si="4"/>
        <v>-0.79375000000000018</v>
      </c>
      <c r="X26" s="1">
        <f>Table2[[#This Row],[ERR (A)]]^2</f>
        <v>0.6300390625000003</v>
      </c>
      <c r="Y26" s="1">
        <f t="shared" si="2"/>
        <v>-0.55687118777489264</v>
      </c>
      <c r="Z26" s="1">
        <f>Table2[[#This Row],[ERR (B)]]^2</f>
        <v>0.31010551977381973</v>
      </c>
      <c r="AA26" s="18">
        <f>Table2[[#This Row],[Pace (H)]]-Table2[[#This Row],[Pace (A)]]</f>
        <v>-6.8000000000000043</v>
      </c>
      <c r="AB26" s="19">
        <f>Table2[[#This Row],[Total EV]]-Table2[[#Totals],[Total EV]]</f>
        <v>6.0269114249799074</v>
      </c>
      <c r="AC26" s="19">
        <f>Table2[[#This Row],[Total EV]]-Table2[[#This Row],[Total (V)]]</f>
        <v>0.39862123646753389</v>
      </c>
      <c r="AD26" s="3">
        <f>Table2[[#This Row],[Margin (V)]]-Table2[[#This Row],[EV (A)]]</f>
        <v>-1.7937500000000002</v>
      </c>
      <c r="AE26" t="b">
        <f>IF(VLOOKUP(Table2[[#This Row],[Home Team]],division_lookup,2,FALSE)=VLOOKUP(Table2[[#This Row],[Away Team]],division_lookup,2,FALSE),TRUE, FALSE)</f>
        <v>0</v>
      </c>
    </row>
    <row r="27" spans="1:31" x14ac:dyDescent="0.25">
      <c r="A27">
        <v>2</v>
      </c>
      <c r="B27" t="s">
        <v>28</v>
      </c>
      <c r="C27" t="s">
        <v>19</v>
      </c>
      <c r="D27">
        <v>40</v>
      </c>
      <c r="E27">
        <v>7</v>
      </c>
      <c r="F27" s="6">
        <f>VLOOKUP(Table2[[#This Row],[Home Team]],home_lookup,3,FALSE)+VLOOKUP(Table2[[#This Row],[Home Team]],off_pts_lookup,7,FALSE)+VLOOKUP(Table2[[#This Row],[Away Team]],def_diff_lookup,14,FALSE)</f>
        <v>31.082451190521773</v>
      </c>
      <c r="G27" s="6">
        <f>VLOOKUP(Table2[[#This Row],[Away Team]],off_pts_lookup,7,FALSE)+VLOOKUP(Table2[[#This Row],[Home Team]],def_diff_lookup,14,FALSE)</f>
        <v>19.627746212121213</v>
      </c>
      <c r="H27" s="3">
        <f>VLOOKUP(Table2[[#This Row],[Home Team]],pace_lookup,5,FALSE)</f>
        <v>71</v>
      </c>
      <c r="I27" s="3">
        <f>VLOOKUP(Table2[[#This Row],[Away Team]],pace_lookup,5,FALSE)</f>
        <v>69.900000000000006</v>
      </c>
      <c r="J27" s="13">
        <f t="shared" si="3"/>
        <v>47</v>
      </c>
      <c r="K27">
        <v>49.5</v>
      </c>
      <c r="N27" s="33">
        <f>Table2[[#This Row],[Home EV]]+Table2[[#This Row],[Away EV]]</f>
        <v>50.71019740264299</v>
      </c>
      <c r="O27" s="13">
        <f t="shared" si="0"/>
        <v>-33</v>
      </c>
      <c r="P27">
        <v>-7</v>
      </c>
      <c r="Q2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27" s="33">
        <v>2.2200000000000002</v>
      </c>
      <c r="S27" s="33">
        <f t="shared" si="1"/>
        <v>-8.2062500000000007</v>
      </c>
      <c r="T27" s="33"/>
      <c r="U27" s="33"/>
      <c r="V27" s="33">
        <f>-VLOOKUP(Table2[[#This Row],[Home Team]],home_lookup,3,FALSE)-VLOOKUP(B27,lookup,2,FALSE)+VLOOKUP(C27,lookup,2,FALSE)</f>
        <v>-10.754704978400561</v>
      </c>
      <c r="W27" s="1">
        <f t="shared" si="4"/>
        <v>-24.793749999999999</v>
      </c>
      <c r="X27" s="1">
        <f>Table2[[#This Row],[ERR (A)]]^2</f>
        <v>614.73003906249994</v>
      </c>
      <c r="Y27" s="1">
        <f t="shared" si="2"/>
        <v>-22.245295021599439</v>
      </c>
      <c r="Z27" s="1">
        <f>Table2[[#This Row],[ERR (B)]]^2</f>
        <v>494.85315059799677</v>
      </c>
      <c r="AA27" s="18">
        <f>Table2[[#This Row],[Pace (H)]]-Table2[[#This Row],[Pace (A)]]</f>
        <v>1.0999999999999943</v>
      </c>
      <c r="AB27" s="19">
        <f>Table2[[#This Row],[Total EV]]-Table2[[#Totals],[Total EV]]</f>
        <v>1.8384875911553635</v>
      </c>
      <c r="AC27" s="19">
        <f>Table2[[#This Row],[Total EV]]-Table2[[#This Row],[Total (V)]]</f>
        <v>1.21019740264299</v>
      </c>
      <c r="AD27" s="3">
        <f>Table2[[#This Row],[Margin (V)]]-Table2[[#This Row],[EV (A)]]</f>
        <v>1.2062500000000007</v>
      </c>
      <c r="AE27" t="b">
        <f>IF(VLOOKUP(Table2[[#This Row],[Home Team]],division_lookup,2,FALSE)=VLOOKUP(Table2[[#This Row],[Away Team]],division_lookup,2,FALSE),TRUE, FALSE)</f>
        <v>0</v>
      </c>
    </row>
    <row r="28" spans="1:31" x14ac:dyDescent="0.25">
      <c r="A28">
        <v>2</v>
      </c>
      <c r="B28" t="s">
        <v>32</v>
      </c>
      <c r="C28" t="s">
        <v>21</v>
      </c>
      <c r="D28">
        <v>9</v>
      </c>
      <c r="E28">
        <v>3</v>
      </c>
      <c r="F28" s="6">
        <f>VLOOKUP(Table2[[#This Row],[Home Team]],home_lookup,3,FALSE)+VLOOKUP(Table2[[#This Row],[Home Team]],off_pts_lookup,7,FALSE)+VLOOKUP(Table2[[#This Row],[Away Team]],def_diff_lookup,14,FALSE)</f>
        <v>10.857562891220937</v>
      </c>
      <c r="G28" s="6">
        <f>VLOOKUP(Table2[[#This Row],[Away Team]],off_pts_lookup,7,FALSE)+VLOOKUP(Table2[[#This Row],[Home Team]],def_diff_lookup,14,FALSE)</f>
        <v>17.727746212121207</v>
      </c>
      <c r="H28" s="3">
        <f>VLOOKUP(Table2[[#This Row],[Home Team]],pace_lookup,5,FALSE)</f>
        <v>62.2</v>
      </c>
      <c r="I28" s="3">
        <f>VLOOKUP(Table2[[#This Row],[Away Team]],pace_lookup,5,FALSE)</f>
        <v>61.1</v>
      </c>
      <c r="J28" s="13">
        <f t="shared" si="3"/>
        <v>12</v>
      </c>
      <c r="K28">
        <v>38</v>
      </c>
      <c r="N28" s="33">
        <f>Table2[[#This Row],[Home EV]]+Table2[[#This Row],[Away EV]]</f>
        <v>28.585309103342144</v>
      </c>
      <c r="O28" s="13">
        <f t="shared" si="0"/>
        <v>-6</v>
      </c>
      <c r="P28">
        <v>5.5</v>
      </c>
      <c r="Q2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28" s="33">
        <v>17.649999999999999</v>
      </c>
      <c r="S28" s="33">
        <f t="shared" si="1"/>
        <v>5.9937499999999995</v>
      </c>
      <c r="T28" s="33"/>
      <c r="U28" s="33"/>
      <c r="V28" s="33">
        <f>-VLOOKUP(Table2[[#This Row],[Home Team]],home_lookup,3,FALSE)-VLOOKUP(B28,lookup,2,FALSE)+VLOOKUP(C28,lookup,2,FALSE)</f>
        <v>5.8701833209002707</v>
      </c>
      <c r="W28" s="1">
        <f t="shared" si="4"/>
        <v>-11.993749999999999</v>
      </c>
      <c r="X28" s="1">
        <f>Table2[[#This Row],[ERR (A)]]^2</f>
        <v>143.85003906249997</v>
      </c>
      <c r="Y28" s="1">
        <f t="shared" si="2"/>
        <v>-11.870183320900271</v>
      </c>
      <c r="Z28" s="1">
        <f>Table2[[#This Row],[ERR (B)]]^2</f>
        <v>140.90125207177897</v>
      </c>
      <c r="AA28" s="18">
        <f>Table2[[#This Row],[Pace (H)]]-Table2[[#This Row],[Pace (A)]]</f>
        <v>1.1000000000000014</v>
      </c>
      <c r="AB28" s="19">
        <f>Table2[[#This Row],[Total EV]]-Table2[[#Totals],[Total EV]]</f>
        <v>-20.286400708145482</v>
      </c>
      <c r="AC28" s="19">
        <f>Table2[[#This Row],[Total EV]]-Table2[[#This Row],[Total (V)]]</f>
        <v>-9.4146908966578557</v>
      </c>
      <c r="AD28" s="3">
        <f>Table2[[#This Row],[Margin (V)]]-Table2[[#This Row],[EV (A)]]</f>
        <v>-0.49374999999999947</v>
      </c>
      <c r="AE28" t="b">
        <f>IF(VLOOKUP(Table2[[#This Row],[Home Team]],division_lookup,2,FALSE)=VLOOKUP(Table2[[#This Row],[Away Team]],division_lookup,2,FALSE),TRUE, FALSE)</f>
        <v>1</v>
      </c>
    </row>
    <row r="29" spans="1:31" x14ac:dyDescent="0.25">
      <c r="A29">
        <v>2</v>
      </c>
      <c r="B29" t="s">
        <v>18</v>
      </c>
      <c r="C29" t="s">
        <v>4</v>
      </c>
      <c r="D29">
        <v>38</v>
      </c>
      <c r="E29">
        <v>14</v>
      </c>
      <c r="F29" s="6">
        <f>VLOOKUP(Table2[[#This Row],[Home Team]],home_lookup,3,FALSE)+VLOOKUP(Table2[[#This Row],[Home Team]],off_pts_lookup,7,FALSE)+VLOOKUP(Table2[[#This Row],[Away Team]],def_diff_lookup,14,FALSE)</f>
        <v>36.109644472094018</v>
      </c>
      <c r="G29" s="6">
        <f>VLOOKUP(Table2[[#This Row],[Away Team]],off_pts_lookup,7,FALSE)+VLOOKUP(Table2[[#This Row],[Home Team]],def_diff_lookup,14,FALSE)</f>
        <v>24.227746212121207</v>
      </c>
      <c r="H29" s="3">
        <f>VLOOKUP(Table2[[#This Row],[Home Team]],pace_lookup,5,FALSE)</f>
        <v>66.400000000000006</v>
      </c>
      <c r="I29" s="3">
        <f>VLOOKUP(Table2[[#This Row],[Away Team]],pace_lookup,5,FALSE)</f>
        <v>65.099999999999994</v>
      </c>
      <c r="J29" s="13">
        <f t="shared" si="3"/>
        <v>52</v>
      </c>
      <c r="K29">
        <v>47.5</v>
      </c>
      <c r="N29" s="33">
        <f>Table2[[#This Row],[Home EV]]+Table2[[#This Row],[Away EV]]</f>
        <v>60.337390684215222</v>
      </c>
      <c r="O29" s="13">
        <f t="shared" si="0"/>
        <v>-24</v>
      </c>
      <c r="P29">
        <v>-3</v>
      </c>
      <c r="Q2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29" s="33">
        <v>-4.75</v>
      </c>
      <c r="S29" s="33">
        <f t="shared" si="1"/>
        <v>-14.106249999999999</v>
      </c>
      <c r="T29" s="33"/>
      <c r="U29" s="33"/>
      <c r="V29" s="33">
        <f>-VLOOKUP(Table2[[#This Row],[Home Team]],home_lookup,3,FALSE)-VLOOKUP(B29,lookup,2,FALSE)+VLOOKUP(C29,lookup,2,FALSE)</f>
        <v>-14.481898259972805</v>
      </c>
      <c r="W29" s="1">
        <f t="shared" si="4"/>
        <v>-9.8937500000000007</v>
      </c>
      <c r="X29" s="1">
        <f>Table2[[#This Row],[ERR (A)]]^2</f>
        <v>97.886289062500012</v>
      </c>
      <c r="Y29" s="1">
        <f t="shared" si="2"/>
        <v>-9.5181017400271948</v>
      </c>
      <c r="Z29" s="1">
        <f>Table2[[#This Row],[ERR (B)]]^2</f>
        <v>90.594260733508719</v>
      </c>
      <c r="AA29" s="18">
        <f>Table2[[#This Row],[Pace (H)]]-Table2[[#This Row],[Pace (A)]]</f>
        <v>1.3000000000000114</v>
      </c>
      <c r="AB29" s="19">
        <f>Table2[[#This Row],[Total EV]]-Table2[[#Totals],[Total EV]]</f>
        <v>11.465680872727596</v>
      </c>
      <c r="AC29" s="19">
        <f>Table2[[#This Row],[Total EV]]-Table2[[#This Row],[Total (V)]]</f>
        <v>12.837390684215222</v>
      </c>
      <c r="AD29" s="3">
        <f>Table2[[#This Row],[Margin (V)]]-Table2[[#This Row],[EV (A)]]</f>
        <v>11.106249999999999</v>
      </c>
      <c r="AE29" t="b">
        <f>IF(VLOOKUP(Table2[[#This Row],[Home Team]],division_lookup,2,FALSE)=VLOOKUP(Table2[[#This Row],[Away Team]],division_lookup,2,FALSE),TRUE, FALSE)</f>
        <v>0</v>
      </c>
    </row>
    <row r="30" spans="1:31" x14ac:dyDescent="0.25">
      <c r="A30">
        <v>2</v>
      </c>
      <c r="B30" t="s">
        <v>1</v>
      </c>
      <c r="C30" t="s">
        <v>24</v>
      </c>
      <c r="D30">
        <v>34</v>
      </c>
      <c r="E30">
        <v>20</v>
      </c>
      <c r="F30" s="6">
        <f>VLOOKUP(Table2[[#This Row],[Home Team]],home_lookup,3,FALSE)+VLOOKUP(Table2[[#This Row],[Home Team]],off_pts_lookup,7,FALSE)+VLOOKUP(Table2[[#This Row],[Away Team]],def_diff_lookup,14,FALSE)</f>
        <v>29.987786374219414</v>
      </c>
      <c r="G30" s="6">
        <f>VLOOKUP(Table2[[#This Row],[Away Team]],off_pts_lookup,7,FALSE)+VLOOKUP(Table2[[#This Row],[Home Team]],def_diff_lookup,14,FALSE)</f>
        <v>22.327746212121205</v>
      </c>
      <c r="H30" s="3">
        <f>VLOOKUP(Table2[[#This Row],[Home Team]],pace_lookup,5,FALSE)</f>
        <v>64</v>
      </c>
      <c r="I30" s="3">
        <f>VLOOKUP(Table2[[#This Row],[Away Team]],pace_lookup,5,FALSE)</f>
        <v>65.5</v>
      </c>
      <c r="J30" s="13">
        <f t="shared" si="3"/>
        <v>54</v>
      </c>
      <c r="K30">
        <v>47</v>
      </c>
      <c r="N30" s="33">
        <f>Table2[[#This Row],[Home EV]]+Table2[[#This Row],[Away EV]]</f>
        <v>52.315532586340623</v>
      </c>
      <c r="O30" s="13">
        <f t="shared" si="0"/>
        <v>-14</v>
      </c>
      <c r="P30">
        <v>-6</v>
      </c>
      <c r="Q3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30" s="33">
        <v>-7.22</v>
      </c>
      <c r="S30" s="33">
        <f t="shared" si="1"/>
        <v>-11.506250000000001</v>
      </c>
      <c r="T30" s="33"/>
      <c r="U30" s="33"/>
      <c r="V30" s="33">
        <f>-VLOOKUP(Table2[[#This Row],[Home Team]],home_lookup,3,FALSE)-VLOOKUP(B30,lookup,2,FALSE)+VLOOKUP(C30,lookup,2,FALSE)</f>
        <v>-10.26004016209821</v>
      </c>
      <c r="W30" s="1">
        <f t="shared" si="4"/>
        <v>-2.4937499999999986</v>
      </c>
      <c r="X30" s="1">
        <f>Table2[[#This Row],[ERR (A)]]^2</f>
        <v>6.2187890624999929</v>
      </c>
      <c r="Y30" s="1">
        <f t="shared" si="2"/>
        <v>-3.7399598379017895</v>
      </c>
      <c r="Z30" s="1">
        <f>Table2[[#This Row],[ERR (B)]]^2</f>
        <v>13.987299589118379</v>
      </c>
      <c r="AA30" s="18">
        <f>Table2[[#This Row],[Pace (H)]]-Table2[[#This Row],[Pace (A)]]</f>
        <v>-1.5</v>
      </c>
      <c r="AB30" s="19">
        <f>Table2[[#This Row],[Total EV]]-Table2[[#Totals],[Total EV]]</f>
        <v>3.4438227748529968</v>
      </c>
      <c r="AC30" s="19">
        <f>Table2[[#This Row],[Total EV]]-Table2[[#This Row],[Total (V)]]</f>
        <v>5.3155325863406233</v>
      </c>
      <c r="AD30" s="3">
        <f>Table2[[#This Row],[Margin (V)]]-Table2[[#This Row],[EV (A)]]</f>
        <v>5.5062500000000014</v>
      </c>
      <c r="AE30" t="b">
        <f>IF(VLOOKUP(Table2[[#This Row],[Home Team]],division_lookup,2,FALSE)=VLOOKUP(Table2[[#This Row],[Away Team]],division_lookup,2,FALSE),TRUE, FALSE)</f>
        <v>0</v>
      </c>
    </row>
    <row r="31" spans="1:31" x14ac:dyDescent="0.25">
      <c r="A31">
        <v>2</v>
      </c>
      <c r="B31" t="s">
        <v>15</v>
      </c>
      <c r="C31" t="s">
        <v>20</v>
      </c>
      <c r="D31">
        <v>28</v>
      </c>
      <c r="E31">
        <v>35</v>
      </c>
      <c r="F31" s="6">
        <f>VLOOKUP(Table2[[#This Row],[Home Team]],home_lookup,3,FALSE)+VLOOKUP(Table2[[#This Row],[Home Team]],off_pts_lookup,7,FALSE)+VLOOKUP(Table2[[#This Row],[Away Team]],def_diff_lookup,14,FALSE)</f>
        <v>31.077082137443664</v>
      </c>
      <c r="G31" s="6">
        <f>VLOOKUP(Table2[[#This Row],[Away Team]],off_pts_lookup,7,FALSE)+VLOOKUP(Table2[[#This Row],[Home Team]],def_diff_lookup,14,FALSE)</f>
        <v>33.905523989898988</v>
      </c>
      <c r="H31" s="3">
        <f>VLOOKUP(Table2[[#This Row],[Home Team]],pace_lookup,5,FALSE)</f>
        <v>67</v>
      </c>
      <c r="I31" s="3">
        <f>VLOOKUP(Table2[[#This Row],[Away Team]],pace_lookup,5,FALSE)</f>
        <v>61.9</v>
      </c>
      <c r="J31" s="13">
        <f t="shared" si="3"/>
        <v>63</v>
      </c>
      <c r="K31">
        <v>48</v>
      </c>
      <c r="N31" s="33">
        <f>Table2[[#This Row],[Home EV]]+Table2[[#This Row],[Away EV]]</f>
        <v>64.982606127342649</v>
      </c>
      <c r="O31" s="13">
        <f t="shared" si="0"/>
        <v>7</v>
      </c>
      <c r="P31">
        <v>-4</v>
      </c>
      <c r="Q3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31" s="33">
        <v>-4.6399999999999997</v>
      </c>
      <c r="S31" s="33">
        <f t="shared" si="1"/>
        <v>-0.40625</v>
      </c>
      <c r="T31" s="33"/>
      <c r="U31" s="33"/>
      <c r="V31" s="33">
        <f>-VLOOKUP(Table2[[#This Row],[Home Team]],home_lookup,3,FALSE)-VLOOKUP(B31,lookup,2,FALSE)+VLOOKUP(C31,lookup,2,FALSE)</f>
        <v>4.0728862968997674</v>
      </c>
      <c r="W31" s="1">
        <f t="shared" si="4"/>
        <v>7.40625</v>
      </c>
      <c r="X31" s="1">
        <f>Table2[[#This Row],[ERR (A)]]^2</f>
        <v>54.8525390625</v>
      </c>
      <c r="Y31" s="1">
        <f t="shared" si="2"/>
        <v>2.9271137031002326</v>
      </c>
      <c r="Z31" s="1">
        <f>Table2[[#This Row],[ERR (B)]]^2</f>
        <v>8.5679946308771555</v>
      </c>
      <c r="AA31" s="18">
        <f>Table2[[#This Row],[Pace (H)]]-Table2[[#This Row],[Pace (A)]]</f>
        <v>5.1000000000000014</v>
      </c>
      <c r="AB31" s="19">
        <f>Table2[[#This Row],[Total EV]]-Table2[[#Totals],[Total EV]]</f>
        <v>16.110896315855022</v>
      </c>
      <c r="AC31" s="19">
        <f>Table2[[#This Row],[Total EV]]-Table2[[#This Row],[Total (V)]]</f>
        <v>16.982606127342649</v>
      </c>
      <c r="AD31" s="3">
        <f>Table2[[#This Row],[Margin (V)]]-Table2[[#This Row],[EV (A)]]</f>
        <v>-3.59375</v>
      </c>
      <c r="AE31" t="b">
        <f>IF(VLOOKUP(Table2[[#This Row],[Home Team]],division_lookup,2,FALSE)=VLOOKUP(Table2[[#This Row],[Away Team]],division_lookup,2,FALSE),TRUE, FALSE)</f>
        <v>0</v>
      </c>
    </row>
    <row r="32" spans="1:31" x14ac:dyDescent="0.25">
      <c r="A32">
        <v>2</v>
      </c>
      <c r="B32" t="s">
        <v>11</v>
      </c>
      <c r="C32" t="s">
        <v>3</v>
      </c>
      <c r="D32">
        <v>17</v>
      </c>
      <c r="E32">
        <v>14</v>
      </c>
      <c r="F32" s="6">
        <f>VLOOKUP(Table2[[#This Row],[Home Team]],home_lookup,3,FALSE)+VLOOKUP(Table2[[#This Row],[Home Team]],off_pts_lookup,7,FALSE)+VLOOKUP(Table2[[#This Row],[Away Team]],def_diff_lookup,14,FALSE)</f>
        <v>28.930106107800697</v>
      </c>
      <c r="G32" s="6">
        <f>VLOOKUP(Table2[[#This Row],[Away Team]],off_pts_lookup,7,FALSE)+VLOOKUP(Table2[[#This Row],[Home Team]],def_diff_lookup,14,FALSE)</f>
        <v>19.42774621212121</v>
      </c>
      <c r="H32" s="3">
        <f>VLOOKUP(Table2[[#This Row],[Home Team]],pace_lookup,5,FALSE)</f>
        <v>62.9</v>
      </c>
      <c r="I32" s="3">
        <f>VLOOKUP(Table2[[#This Row],[Away Team]],pace_lookup,5,FALSE)</f>
        <v>66.2</v>
      </c>
      <c r="J32" s="13">
        <f t="shared" si="3"/>
        <v>31</v>
      </c>
      <c r="K32">
        <v>43</v>
      </c>
      <c r="N32" s="33">
        <f>Table2[[#This Row],[Home EV]]+Table2[[#This Row],[Away EV]]</f>
        <v>48.357852319921903</v>
      </c>
      <c r="O32" s="13">
        <f t="shared" si="0"/>
        <v>-3</v>
      </c>
      <c r="P32">
        <v>2</v>
      </c>
      <c r="Q3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32" s="33">
        <v>-3</v>
      </c>
      <c r="S32" s="33">
        <f t="shared" si="1"/>
        <v>-7.1062500000000002</v>
      </c>
      <c r="T32" s="33"/>
      <c r="U32" s="33"/>
      <c r="V32" s="33">
        <f>-VLOOKUP(Table2[[#This Row],[Home Team]],home_lookup,3,FALSE)-VLOOKUP(B32,lookup,2,FALSE)+VLOOKUP(C32,lookup,2,FALSE)</f>
        <v>-7.9023598956794858</v>
      </c>
      <c r="W32" s="1">
        <f t="shared" si="4"/>
        <v>4.1062500000000002</v>
      </c>
      <c r="X32" s="1">
        <f>Table2[[#This Row],[ERR (A)]]^2</f>
        <v>16.861289062500003</v>
      </c>
      <c r="Y32" s="1">
        <f t="shared" si="2"/>
        <v>4.9023598956794858</v>
      </c>
      <c r="Z32" s="1">
        <f>Table2[[#This Row],[ERR (B)]]^2</f>
        <v>24.033132546766581</v>
      </c>
      <c r="AA32" s="18">
        <f>Table2[[#This Row],[Pace (H)]]-Table2[[#This Row],[Pace (A)]]</f>
        <v>-3.3000000000000043</v>
      </c>
      <c r="AB32" s="19">
        <f>Table2[[#This Row],[Total EV]]-Table2[[#Totals],[Total EV]]</f>
        <v>-0.51385749156572302</v>
      </c>
      <c r="AC32" s="19">
        <f>Table2[[#This Row],[Total EV]]-Table2[[#This Row],[Total (V)]]</f>
        <v>5.3578523199219035</v>
      </c>
      <c r="AD32" s="3">
        <f>Table2[[#This Row],[Margin (V)]]-Table2[[#This Row],[EV (A)]]</f>
        <v>9.1062499999999993</v>
      </c>
      <c r="AE32" t="b">
        <f>IF(VLOOKUP(Table2[[#This Row],[Home Team]],division_lookup,2,FALSE)=VLOOKUP(Table2[[#This Row],[Away Team]],division_lookup,2,FALSE),TRUE, FALSE)</f>
        <v>1</v>
      </c>
    </row>
    <row r="33" spans="1:31" ht="15.75" thickBot="1" x14ac:dyDescent="0.3">
      <c r="A33" s="9">
        <v>2</v>
      </c>
      <c r="B33" s="9" t="s">
        <v>10</v>
      </c>
      <c r="C33" s="9" t="s">
        <v>13</v>
      </c>
      <c r="D33" s="9">
        <v>14</v>
      </c>
      <c r="E33" s="9">
        <v>29</v>
      </c>
      <c r="F33" s="30">
        <f>VLOOKUP(Table2[[#This Row],[Home Team]],home_lookup,3,FALSE)+VLOOKUP(Table2[[#This Row],[Home Team]],off_pts_lookup,7,FALSE)+VLOOKUP(Table2[[#This Row],[Away Team]],def_diff_lookup,14,FALSE)</f>
        <v>19.056745113923146</v>
      </c>
      <c r="G33" s="30">
        <f>VLOOKUP(Table2[[#This Row],[Away Team]],off_pts_lookup,7,FALSE)+VLOOKUP(Table2[[#This Row],[Home Team]],def_diff_lookup,14,FALSE)</f>
        <v>24.92774621212121</v>
      </c>
      <c r="H33" s="15">
        <f>VLOOKUP(Table2[[#This Row],[Home Team]],pace_lookup,5,FALSE)</f>
        <v>59.3</v>
      </c>
      <c r="I33" s="15">
        <f>VLOOKUP(Table2[[#This Row],[Away Team]],pace_lookup,5,FALSE)</f>
        <v>65.5</v>
      </c>
      <c r="J33" s="14">
        <f t="shared" si="3"/>
        <v>43</v>
      </c>
      <c r="K33" s="9">
        <v>43</v>
      </c>
      <c r="L33" s="9"/>
      <c r="M33" s="9"/>
      <c r="N33" s="34">
        <f>Table2[[#This Row],[Home EV]]+Table2[[#This Row],[Away EV]]</f>
        <v>43.984491326044356</v>
      </c>
      <c r="O33" s="14">
        <f t="shared" si="0"/>
        <v>15</v>
      </c>
      <c r="P33" s="9">
        <v>-3</v>
      </c>
      <c r="Q33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33" s="34">
        <v>20.09</v>
      </c>
      <c r="S33" s="34">
        <f t="shared" si="1"/>
        <v>13.193750000000001</v>
      </c>
      <c r="T33" s="34"/>
      <c r="U33" s="34"/>
      <c r="V33" s="34">
        <f>-VLOOKUP(Table2[[#This Row],[Home Team]],home_lookup,3,FALSE)-VLOOKUP(B33,lookup,2,FALSE)+VLOOKUP(C33,lookup,2,FALSE)</f>
        <v>8.4710010981980659</v>
      </c>
      <c r="W33" s="16">
        <f t="shared" si="4"/>
        <v>1.8062499999999986</v>
      </c>
      <c r="X33" s="16">
        <f>Table2[[#This Row],[ERR (A)]]^2</f>
        <v>3.2625390624999948</v>
      </c>
      <c r="Y33" s="16">
        <f t="shared" si="2"/>
        <v>6.5289989018019341</v>
      </c>
      <c r="Z33" s="16">
        <f>Table2[[#This Row],[ERR (B)]]^2</f>
        <v>42.627826659730864</v>
      </c>
      <c r="AA33" s="24">
        <f>Table2[[#This Row],[Pace (H)]]-Table2[[#This Row],[Pace (A)]]</f>
        <v>-6.2000000000000028</v>
      </c>
      <c r="AB33" s="15">
        <f>Table2[[#This Row],[Total EV]]-Table2[[#Totals],[Total EV]]</f>
        <v>-4.8872184854432703</v>
      </c>
      <c r="AC33" s="15">
        <f>Table2[[#This Row],[Total EV]]-Table2[[#This Row],[Total (V)]]</f>
        <v>0.98449132604435619</v>
      </c>
      <c r="AD33" s="15">
        <f>Table2[[#This Row],[Margin (V)]]-Table2[[#This Row],[EV (A)]]</f>
        <v>-16.193750000000001</v>
      </c>
      <c r="AE33" s="9" t="b">
        <f>IF(VLOOKUP(Table2[[#This Row],[Home Team]],division_lookup,2,FALSE)=VLOOKUP(Table2[[#This Row],[Away Team]],division_lookup,2,FALSE),TRUE, FALSE)</f>
        <v>0</v>
      </c>
    </row>
    <row r="34" spans="1:31" x14ac:dyDescent="0.25">
      <c r="A34">
        <v>3</v>
      </c>
      <c r="B34" t="s">
        <v>27</v>
      </c>
      <c r="C34" t="s">
        <v>9</v>
      </c>
      <c r="D34">
        <v>27</v>
      </c>
      <c r="E34">
        <v>0</v>
      </c>
      <c r="F34" s="6">
        <f>VLOOKUP(Table2[[#This Row],[Home Team]],home_lookup,3,FALSE)+VLOOKUP(Table2[[#This Row],[Home Team]],off_pts_lookup,7,FALSE)+VLOOKUP(Table2[[#This Row],[Away Team]],def_diff_lookup,14,FALSE)</f>
        <v>23.017238729766028</v>
      </c>
      <c r="G34" s="6">
        <f>VLOOKUP(Table2[[#This Row],[Away Team]],off_pts_lookup,7,FALSE)+VLOOKUP(Table2[[#This Row],[Home Team]],def_diff_lookup,14,FALSE)</f>
        <v>13.016635101010102</v>
      </c>
      <c r="H34" s="3">
        <f>VLOOKUP(Table2[[#This Row],[Home Team]],pace_lookup,5,FALSE)</f>
        <v>63.9</v>
      </c>
      <c r="I34" s="3">
        <f>VLOOKUP(Table2[[#This Row],[Away Team]],pace_lookup,5,FALSE)</f>
        <v>65.777777777777771</v>
      </c>
      <c r="J34" s="13">
        <f t="shared" si="3"/>
        <v>27</v>
      </c>
      <c r="K34">
        <v>38.5</v>
      </c>
      <c r="N34" s="33">
        <f>Table2[[#This Row],[Home EV]]+Table2[[#This Row],[Away EV]]</f>
        <v>36.03387383077613</v>
      </c>
      <c r="O34" s="13">
        <f t="shared" ref="O34:O65" si="5">E34-D34</f>
        <v>-27</v>
      </c>
      <c r="P34">
        <v>-1</v>
      </c>
      <c r="Q3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34" s="33">
        <v>-22.87</v>
      </c>
      <c r="S34" s="33">
        <f t="shared" ref="S34:S50" si="6">-home-VLOOKUP(B34,lookup,2,FALSE)+VLOOKUP(C34,lookup,2,FALSE)</f>
        <v>-15.40625</v>
      </c>
      <c r="T34" s="33"/>
      <c r="U34" s="33"/>
      <c r="V34" s="33">
        <f>-VLOOKUP(Table2[[#This Row],[Home Team]],home_lookup,3,FALSE)-VLOOKUP(B34,lookup,2,FALSE)+VLOOKUP(C34,lookup,2,FALSE)</f>
        <v>-10.400603628755931</v>
      </c>
      <c r="W34" s="1">
        <f t="shared" si="4"/>
        <v>-11.59375</v>
      </c>
      <c r="X34" s="1">
        <f>Table2[[#This Row],[ERR (A)]]^2</f>
        <v>134.4150390625</v>
      </c>
      <c r="Y34" s="1">
        <f t="shared" ref="Y34:Y65" si="7">$O34-V34</f>
        <v>-16.599396371244069</v>
      </c>
      <c r="Z34" s="1">
        <f>Table2[[#This Row],[ERR (B)]]^2</f>
        <v>275.53995988967074</v>
      </c>
      <c r="AA34" s="18">
        <f>Table2[[#This Row],[Pace (H)]]-Table2[[#This Row],[Pace (A)]]</f>
        <v>-1.8777777777777729</v>
      </c>
      <c r="AB34" s="19">
        <f>Table2[[#This Row],[Total EV]]-Table2[[#Totals],[Total EV]]</f>
        <v>-12.837835980711496</v>
      </c>
      <c r="AC34" s="19">
        <f>Table2[[#This Row],[Total EV]]-Table2[[#This Row],[Total (V)]]</f>
        <v>-2.4661261692238696</v>
      </c>
      <c r="AD34" s="3">
        <f>Table2[[#This Row],[Margin (V)]]-Table2[[#This Row],[EV (A)]]</f>
        <v>14.40625</v>
      </c>
      <c r="AE34" t="b">
        <f>IF(VLOOKUP(Table2[[#This Row],[Home Team]],division_lookup,2,FALSE)=VLOOKUP(Table2[[#This Row],[Away Team]],division_lookup,2,FALSE),TRUE, FALSE)</f>
        <v>0</v>
      </c>
    </row>
    <row r="35" spans="1:31" x14ac:dyDescent="0.25">
      <c r="A35">
        <v>3</v>
      </c>
      <c r="B35" t="s">
        <v>3</v>
      </c>
      <c r="C35" t="s">
        <v>23</v>
      </c>
      <c r="D35">
        <v>34</v>
      </c>
      <c r="E35">
        <v>27</v>
      </c>
      <c r="F35" s="6">
        <f>VLOOKUP(Table2[[#This Row],[Home Team]],home_lookup,3,FALSE)+VLOOKUP(Table2[[#This Row],[Home Team]],off_pts_lookup,7,FALSE)+VLOOKUP(Table2[[#This Row],[Away Team]],def_diff_lookup,14,FALSE)</f>
        <v>27.930542379597458</v>
      </c>
      <c r="G35" s="6">
        <f>VLOOKUP(Table2[[#This Row],[Away Team]],off_pts_lookup,7,FALSE)+VLOOKUP(Table2[[#This Row],[Home Team]],def_diff_lookup,14,FALSE)</f>
        <v>27.827746212121212</v>
      </c>
      <c r="H35" s="3">
        <f>VLOOKUP(Table2[[#This Row],[Home Team]],pace_lookup,5,FALSE)</f>
        <v>66.2</v>
      </c>
      <c r="I35" s="3">
        <f>VLOOKUP(Table2[[#This Row],[Away Team]],pace_lookup,5,FALSE)</f>
        <v>59.4</v>
      </c>
      <c r="J35" s="13">
        <f t="shared" si="3"/>
        <v>61</v>
      </c>
      <c r="K35">
        <v>47.5</v>
      </c>
      <c r="N35" s="33">
        <f>Table2[[#This Row],[Home EV]]+Table2[[#This Row],[Away EV]]</f>
        <v>55.758288591718667</v>
      </c>
      <c r="O35" s="13">
        <f t="shared" si="5"/>
        <v>-7</v>
      </c>
      <c r="P35">
        <v>-6.5</v>
      </c>
      <c r="Q3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35" s="33">
        <v>2.59</v>
      </c>
      <c r="S35" s="33">
        <f t="shared" si="6"/>
        <v>-1.9062499999999998</v>
      </c>
      <c r="T35" s="33"/>
      <c r="U35" s="33"/>
      <c r="V35" s="33">
        <f>-VLOOKUP(Table2[[#This Row],[Home Team]],home_lookup,3,FALSE)-VLOOKUP(B35,lookup,2,FALSE)+VLOOKUP(C35,lookup,2,FALSE)</f>
        <v>-2.6027961674762468</v>
      </c>
      <c r="W35" s="1">
        <f t="shared" si="4"/>
        <v>-5.09375</v>
      </c>
      <c r="X35" s="1">
        <f>Table2[[#This Row],[ERR (A)]]^2</f>
        <v>25.9462890625</v>
      </c>
      <c r="Y35" s="1">
        <f t="shared" si="7"/>
        <v>-4.3972038325237532</v>
      </c>
      <c r="Z35" s="1">
        <f>Table2[[#This Row],[ERR (B)]]^2</f>
        <v>19.335401544761584</v>
      </c>
      <c r="AA35" s="18">
        <f>Table2[[#This Row],[Pace (H)]]-Table2[[#This Row],[Pace (A)]]</f>
        <v>6.8000000000000043</v>
      </c>
      <c r="AB35" s="19">
        <f>Table2[[#This Row],[Total EV]]-Table2[[#Totals],[Total EV]]</f>
        <v>6.8865787802310408</v>
      </c>
      <c r="AC35" s="19">
        <f>Table2[[#This Row],[Total EV]]-Table2[[#This Row],[Total (V)]]</f>
        <v>8.2582885917186672</v>
      </c>
      <c r="AD35" s="3">
        <f>Table2[[#This Row],[Margin (V)]]-Table2[[#This Row],[EV (A)]]</f>
        <v>-4.59375</v>
      </c>
      <c r="AE35" t="b">
        <f>IF(VLOOKUP(Table2[[#This Row],[Home Team]],division_lookup,2,FALSE)=VLOOKUP(Table2[[#This Row],[Away Team]],division_lookup,2,FALSE),TRUE, FALSE)</f>
        <v>1</v>
      </c>
    </row>
    <row r="36" spans="1:31" x14ac:dyDescent="0.25">
      <c r="A36">
        <v>3</v>
      </c>
      <c r="B36" t="s">
        <v>22</v>
      </c>
      <c r="C36" t="s">
        <v>14</v>
      </c>
      <c r="D36">
        <v>30</v>
      </c>
      <c r="E36">
        <v>24</v>
      </c>
      <c r="F36" s="6">
        <f>VLOOKUP(Table2[[#This Row],[Home Team]],home_lookup,3,FALSE)+VLOOKUP(Table2[[#This Row],[Home Team]],off_pts_lookup,7,FALSE)+VLOOKUP(Table2[[#This Row],[Away Team]],def_diff_lookup,14,FALSE)</f>
        <v>34.637007459652764</v>
      </c>
      <c r="G36" s="6">
        <f>VLOOKUP(Table2[[#This Row],[Away Team]],off_pts_lookup,7,FALSE)+VLOOKUP(Table2[[#This Row],[Home Team]],def_diff_lookup,14,FALSE)</f>
        <v>15.455018939393938</v>
      </c>
      <c r="H36" s="3">
        <f>VLOOKUP(Table2[[#This Row],[Home Team]],pace_lookup,5,FALSE)</f>
        <v>56.9</v>
      </c>
      <c r="I36" s="3">
        <f>VLOOKUP(Table2[[#This Row],[Away Team]],pace_lookup,5,FALSE)</f>
        <v>60.090909090909093</v>
      </c>
      <c r="J36" s="13">
        <f t="shared" si="3"/>
        <v>54</v>
      </c>
      <c r="K36">
        <v>42.5</v>
      </c>
      <c r="N36" s="33">
        <f>Table2[[#This Row],[Home EV]]+Table2[[#This Row],[Away EV]]</f>
        <v>50.092026399046702</v>
      </c>
      <c r="O36" s="13">
        <f t="shared" si="5"/>
        <v>-6</v>
      </c>
      <c r="P36">
        <v>-10</v>
      </c>
      <c r="Q3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36" s="33">
        <v>-24.38</v>
      </c>
      <c r="S36" s="33">
        <f t="shared" si="6"/>
        <v>-13.40625</v>
      </c>
      <c r="T36" s="33"/>
      <c r="U36" s="33"/>
      <c r="V36" s="33">
        <f>-VLOOKUP(Table2[[#This Row],[Home Team]],home_lookup,3,FALSE)-VLOOKUP(B36,lookup,2,FALSE)+VLOOKUP(C36,lookup,2,FALSE)</f>
        <v>-16.663806702077007</v>
      </c>
      <c r="W36" s="1">
        <f t="shared" si="4"/>
        <v>7.40625</v>
      </c>
      <c r="X36" s="1">
        <f>Table2[[#This Row],[ERR (A)]]^2</f>
        <v>54.8525390625</v>
      </c>
      <c r="Y36" s="1">
        <f t="shared" si="7"/>
        <v>10.663806702077007</v>
      </c>
      <c r="Z36" s="1">
        <f>Table2[[#This Row],[ERR (B)]]^2</f>
        <v>113.71677337926251</v>
      </c>
      <c r="AA36" s="18">
        <f>Table2[[#This Row],[Pace (H)]]-Table2[[#This Row],[Pace (A)]]</f>
        <v>-3.1909090909090949</v>
      </c>
      <c r="AB36" s="19">
        <f>Table2[[#This Row],[Total EV]]-Table2[[#Totals],[Total EV]]</f>
        <v>1.2203165875590756</v>
      </c>
      <c r="AC36" s="19">
        <f>Table2[[#This Row],[Total EV]]-Table2[[#This Row],[Total (V)]]</f>
        <v>7.5920263990467021</v>
      </c>
      <c r="AD36" s="3">
        <f>Table2[[#This Row],[Margin (V)]]-Table2[[#This Row],[EV (A)]]</f>
        <v>3.40625</v>
      </c>
      <c r="AE36" t="b">
        <f>IF(VLOOKUP(Table2[[#This Row],[Home Team]],division_lookup,2,FALSE)=VLOOKUP(Table2[[#This Row],[Away Team]],division_lookup,2,FALSE),TRUE, FALSE)</f>
        <v>0</v>
      </c>
    </row>
    <row r="37" spans="1:31" x14ac:dyDescent="0.25">
      <c r="A37">
        <v>3</v>
      </c>
      <c r="B37" t="s">
        <v>7</v>
      </c>
      <c r="C37" t="s">
        <v>1</v>
      </c>
      <c r="D37">
        <v>17</v>
      </c>
      <c r="E37">
        <v>29</v>
      </c>
      <c r="F37" s="6">
        <f>VLOOKUP(Table2[[#This Row],[Home Team]],home_lookup,3,FALSE)+VLOOKUP(Table2[[#This Row],[Home Team]],off_pts_lookup,7,FALSE)+VLOOKUP(Table2[[#This Row],[Away Team]],def_diff_lookup,14,FALSE)</f>
        <v>20.257546053561317</v>
      </c>
      <c r="G37" s="6">
        <f>VLOOKUP(Table2[[#This Row],[Away Team]],off_pts_lookup,7,FALSE)+VLOOKUP(Table2[[#This Row],[Home Team]],def_diff_lookup,14,FALSE)</f>
        <v>23.62774621212121</v>
      </c>
      <c r="H37" s="3">
        <f>VLOOKUP(Table2[[#This Row],[Home Team]],pace_lookup,5,FALSE)</f>
        <v>65.900000000000006</v>
      </c>
      <c r="I37" s="3">
        <f>VLOOKUP(Table2[[#This Row],[Away Team]],pace_lookup,5,FALSE)</f>
        <v>64</v>
      </c>
      <c r="J37" s="13">
        <f t="shared" si="3"/>
        <v>46</v>
      </c>
      <c r="K37">
        <v>41.5</v>
      </c>
      <c r="N37" s="33">
        <f>Table2[[#This Row],[Home EV]]+Table2[[#This Row],[Away EV]]</f>
        <v>43.885292265682523</v>
      </c>
      <c r="O37" s="13">
        <f t="shared" si="5"/>
        <v>12</v>
      </c>
      <c r="P37">
        <v>-3.5</v>
      </c>
      <c r="Q3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37" s="33">
        <v>26.96</v>
      </c>
      <c r="S37" s="33">
        <f t="shared" si="6"/>
        <v>3.5937500000000004</v>
      </c>
      <c r="T37" s="33"/>
      <c r="U37" s="33"/>
      <c r="V37" s="33">
        <f>-VLOOKUP(Table2[[#This Row],[Home Team]],home_lookup,3,FALSE)-VLOOKUP(B37,lookup,2,FALSE)+VLOOKUP(C37,lookup,2,FALSE)</f>
        <v>2.1702001585598931</v>
      </c>
      <c r="W37" s="1">
        <f t="shared" si="4"/>
        <v>8.40625</v>
      </c>
      <c r="X37" s="1">
        <f>Table2[[#This Row],[ERR (A)]]^2</f>
        <v>70.6650390625</v>
      </c>
      <c r="Y37" s="1">
        <f t="shared" si="7"/>
        <v>9.8297998414401064</v>
      </c>
      <c r="Z37" s="1">
        <f>Table2[[#This Row],[ERR (B)]]^2</f>
        <v>96.624964922775945</v>
      </c>
      <c r="AA37" s="18">
        <f>Table2[[#This Row],[Pace (H)]]-Table2[[#This Row],[Pace (A)]]</f>
        <v>1.9000000000000057</v>
      </c>
      <c r="AB37" s="19">
        <f>Table2[[#This Row],[Total EV]]-Table2[[#Totals],[Total EV]]</f>
        <v>-4.9864175458051037</v>
      </c>
      <c r="AC37" s="19">
        <f>Table2[[#This Row],[Total EV]]-Table2[[#This Row],[Total (V)]]</f>
        <v>2.3852922656825228</v>
      </c>
      <c r="AD37" s="3">
        <f>Table2[[#This Row],[Margin (V)]]-Table2[[#This Row],[EV (A)]]</f>
        <v>-7.09375</v>
      </c>
      <c r="AE37" t="b">
        <f>IF(VLOOKUP(Table2[[#This Row],[Home Team]],division_lookup,2,FALSE)=VLOOKUP(Table2[[#This Row],[Away Team]],division_lookup,2,FALSE),TRUE, FALSE)</f>
        <v>0</v>
      </c>
    </row>
    <row r="38" spans="1:31" x14ac:dyDescent="0.25">
      <c r="A38">
        <v>3</v>
      </c>
      <c r="B38" t="s">
        <v>6</v>
      </c>
      <c r="C38" t="s">
        <v>28</v>
      </c>
      <c r="D38">
        <v>33</v>
      </c>
      <c r="E38">
        <v>18</v>
      </c>
      <c r="F38" s="6">
        <f>VLOOKUP(Table2[[#This Row],[Home Team]],home_lookup,3,FALSE)+VLOOKUP(Table2[[#This Row],[Home Team]],off_pts_lookup,7,FALSE)+VLOOKUP(Table2[[#This Row],[Away Team]],def_diff_lookup,14,FALSE)</f>
        <v>21.28708448267561</v>
      </c>
      <c r="G38" s="6">
        <f>VLOOKUP(Table2[[#This Row],[Away Team]],off_pts_lookup,7,FALSE)+VLOOKUP(Table2[[#This Row],[Home Team]],def_diff_lookup,14,FALSE)</f>
        <v>21.227746212121211</v>
      </c>
      <c r="H38" s="3">
        <f>VLOOKUP(Table2[[#This Row],[Home Team]],pace_lookup,5,FALSE)</f>
        <v>62.5</v>
      </c>
      <c r="I38" s="3">
        <f>VLOOKUP(Table2[[#This Row],[Away Team]],pace_lookup,5,FALSE)</f>
        <v>71</v>
      </c>
      <c r="J38" s="13">
        <f t="shared" si="3"/>
        <v>51</v>
      </c>
      <c r="K38">
        <v>48</v>
      </c>
      <c r="N38" s="33">
        <f>Table2[[#This Row],[Home EV]]+Table2[[#This Row],[Away EV]]</f>
        <v>42.514830694796821</v>
      </c>
      <c r="O38" s="13">
        <f t="shared" si="5"/>
        <v>-15</v>
      </c>
      <c r="P38">
        <v>5</v>
      </c>
      <c r="Q3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38" s="33">
        <v>29.28</v>
      </c>
      <c r="S38" s="33">
        <f t="shared" si="6"/>
        <v>-5.3062499999999995</v>
      </c>
      <c r="T38" s="33"/>
      <c r="U38" s="33"/>
      <c r="V38" s="33">
        <f>-VLOOKUP(Table2[[#This Row],[Home Team]],home_lookup,3,FALSE)-VLOOKUP(B38,lookup,2,FALSE)+VLOOKUP(C38,lookup,2,FALSE)</f>
        <v>-2.2593382705544007</v>
      </c>
      <c r="W38" s="1">
        <f t="shared" si="4"/>
        <v>-9.6937500000000014</v>
      </c>
      <c r="X38" s="1">
        <f>Table2[[#This Row],[ERR (A)]]^2</f>
        <v>93.968789062500022</v>
      </c>
      <c r="Y38" s="1">
        <f t="shared" si="7"/>
        <v>-12.740661729445598</v>
      </c>
      <c r="Z38" s="1">
        <f>Table2[[#This Row],[ERR (B)]]^2</f>
        <v>162.32446130415971</v>
      </c>
      <c r="AA38" s="18">
        <f>Table2[[#This Row],[Pace (H)]]-Table2[[#This Row],[Pace (A)]]</f>
        <v>-8.5</v>
      </c>
      <c r="AB38" s="19">
        <f>Table2[[#This Row],[Total EV]]-Table2[[#Totals],[Total EV]]</f>
        <v>-6.3568791166908056</v>
      </c>
      <c r="AC38" s="19">
        <f>Table2[[#This Row],[Total EV]]-Table2[[#This Row],[Total (V)]]</f>
        <v>-5.4851693052031791</v>
      </c>
      <c r="AD38" s="3">
        <f>Table2[[#This Row],[Margin (V)]]-Table2[[#This Row],[EV (A)]]</f>
        <v>10.306249999999999</v>
      </c>
      <c r="AE38" t="b">
        <f>IF(VLOOKUP(Table2[[#This Row],[Home Team]],division_lookup,2,FALSE)=VLOOKUP(Table2[[#This Row],[Away Team]],division_lookup,2,FALSE),TRUE, FALSE)</f>
        <v>0</v>
      </c>
    </row>
    <row r="39" spans="1:31" x14ac:dyDescent="0.25">
      <c r="A39">
        <v>3</v>
      </c>
      <c r="B39" t="s">
        <v>4</v>
      </c>
      <c r="C39" t="s">
        <v>5</v>
      </c>
      <c r="D39">
        <v>17</v>
      </c>
      <c r="E39">
        <v>19</v>
      </c>
      <c r="F39" s="6">
        <f>VLOOKUP(Table2[[#This Row],[Home Team]],home_lookup,3,FALSE)+VLOOKUP(Table2[[#This Row],[Home Team]],off_pts_lookup,7,FALSE)+VLOOKUP(Table2[[#This Row],[Away Team]],def_diff_lookup,14,FALSE)</f>
        <v>18.011151189949054</v>
      </c>
      <c r="G39" s="6">
        <f>VLOOKUP(Table2[[#This Row],[Away Team]],off_pts_lookup,7,FALSE)+VLOOKUP(Table2[[#This Row],[Home Team]],def_diff_lookup,14,FALSE)</f>
        <v>23.527746212121215</v>
      </c>
      <c r="H39" s="3">
        <f>VLOOKUP(Table2[[#This Row],[Home Team]],pace_lookup,5,FALSE)</f>
        <v>65.099999999999994</v>
      </c>
      <c r="I39" s="3">
        <f>VLOOKUP(Table2[[#This Row],[Away Team]],pace_lookup,5,FALSE)</f>
        <v>67.400000000000006</v>
      </c>
      <c r="J39" s="13">
        <f t="shared" si="3"/>
        <v>36</v>
      </c>
      <c r="K39">
        <v>45</v>
      </c>
      <c r="N39" s="33">
        <f>Table2[[#This Row],[Home EV]]+Table2[[#This Row],[Away EV]]</f>
        <v>41.538897402070269</v>
      </c>
      <c r="O39" s="13">
        <f t="shared" si="5"/>
        <v>2</v>
      </c>
      <c r="P39">
        <v>2</v>
      </c>
      <c r="Q3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39" s="33">
        <v>2.17</v>
      </c>
      <c r="S39" s="33">
        <f t="shared" si="6"/>
        <v>5.3937499999999989</v>
      </c>
      <c r="T39" s="33"/>
      <c r="U39" s="33"/>
      <c r="V39" s="33">
        <f>-VLOOKUP(Table2[[#This Row],[Home Team]],home_lookup,3,FALSE)-VLOOKUP(B39,lookup,2,FALSE)+VLOOKUP(C39,lookup,2,FALSE)</f>
        <v>5.4165950221721531</v>
      </c>
      <c r="W39" s="1">
        <f t="shared" si="4"/>
        <v>-3.3937499999999989</v>
      </c>
      <c r="X39" s="1">
        <f>Table2[[#This Row],[ERR (A)]]^2</f>
        <v>11.517539062499992</v>
      </c>
      <c r="Y39" s="1">
        <f t="shared" si="7"/>
        <v>-3.4165950221721531</v>
      </c>
      <c r="Z39" s="1">
        <f>Table2[[#This Row],[ERR (B)]]^2</f>
        <v>11.673121545531535</v>
      </c>
      <c r="AA39" s="18">
        <f>Table2[[#This Row],[Pace (H)]]-Table2[[#This Row],[Pace (A)]]</f>
        <v>-2.3000000000000114</v>
      </c>
      <c r="AB39" s="19">
        <f>Table2[[#This Row],[Total EV]]-Table2[[#Totals],[Total EV]]</f>
        <v>-7.3328124094173575</v>
      </c>
      <c r="AC39" s="19">
        <f>Table2[[#This Row],[Total EV]]-Table2[[#This Row],[Total (V)]]</f>
        <v>-3.461102597929731</v>
      </c>
      <c r="AD39" s="3">
        <f>Table2[[#This Row],[Margin (V)]]-Table2[[#This Row],[EV (A)]]</f>
        <v>-3.3937499999999989</v>
      </c>
      <c r="AE39" t="b">
        <f>IF(VLOOKUP(Table2[[#This Row],[Home Team]],division_lookup,2,FALSE)=VLOOKUP(Table2[[#This Row],[Away Team]],division_lookup,2,FALSE),TRUE, FALSE)</f>
        <v>0</v>
      </c>
    </row>
    <row r="40" spans="1:31" x14ac:dyDescent="0.25">
      <c r="A40">
        <v>3</v>
      </c>
      <c r="B40" t="s">
        <v>2</v>
      </c>
      <c r="C40" t="s">
        <v>11</v>
      </c>
      <c r="D40">
        <v>10</v>
      </c>
      <c r="E40">
        <v>22</v>
      </c>
      <c r="F40" s="6">
        <f>VLOOKUP(Table2[[#This Row],[Home Team]],home_lookup,3,FALSE)+VLOOKUP(Table2[[#This Row],[Home Team]],off_pts_lookup,7,FALSE)+VLOOKUP(Table2[[#This Row],[Away Team]],def_diff_lookup,14,FALSE)</f>
        <v>21.08081157494053</v>
      </c>
      <c r="G40" s="6">
        <f>VLOOKUP(Table2[[#This Row],[Away Team]],off_pts_lookup,7,FALSE)+VLOOKUP(Table2[[#This Row],[Home Team]],def_diff_lookup,14,FALSE)</f>
        <v>22.227746212121211</v>
      </c>
      <c r="H40" s="3">
        <f>VLOOKUP(Table2[[#This Row],[Home Team]],pace_lookup,5,FALSE)</f>
        <v>66.8</v>
      </c>
      <c r="I40" s="3">
        <f>VLOOKUP(Table2[[#This Row],[Away Team]],pace_lookup,5,FALSE)</f>
        <v>62.9</v>
      </c>
      <c r="J40" s="13">
        <f t="shared" si="3"/>
        <v>32</v>
      </c>
      <c r="K40">
        <v>42.5</v>
      </c>
      <c r="N40" s="33">
        <f>Table2[[#This Row],[Home EV]]+Table2[[#This Row],[Away EV]]</f>
        <v>43.308557787061744</v>
      </c>
      <c r="O40" s="13">
        <f t="shared" si="5"/>
        <v>12</v>
      </c>
      <c r="P40">
        <v>-6.5</v>
      </c>
      <c r="Q4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40" s="33">
        <v>-25.47</v>
      </c>
      <c r="S40" s="33">
        <f t="shared" si="6"/>
        <v>-0.70624999999999982</v>
      </c>
      <c r="T40" s="33"/>
      <c r="U40" s="33"/>
      <c r="V40" s="33">
        <f>-VLOOKUP(Table2[[#This Row],[Home Team]],home_lookup,3,FALSE)-VLOOKUP(B40,lookup,2,FALSE)+VLOOKUP(C40,lookup,2,FALSE)</f>
        <v>0.24693463718067754</v>
      </c>
      <c r="W40" s="1">
        <f t="shared" si="4"/>
        <v>12.706250000000001</v>
      </c>
      <c r="X40" s="1">
        <f>Table2[[#This Row],[ERR (A)]]^2</f>
        <v>161.44878906250003</v>
      </c>
      <c r="Y40" s="1">
        <f t="shared" si="7"/>
        <v>11.753065362819322</v>
      </c>
      <c r="Z40" s="1">
        <f>Table2[[#This Row],[ERR (B)]]^2</f>
        <v>138.1345454227033</v>
      </c>
      <c r="AA40" s="18">
        <f>Table2[[#This Row],[Pace (H)]]-Table2[[#This Row],[Pace (A)]]</f>
        <v>3.8999999999999986</v>
      </c>
      <c r="AB40" s="19">
        <f>Table2[[#This Row],[Total EV]]-Table2[[#Totals],[Total EV]]</f>
        <v>-5.5631520244258823</v>
      </c>
      <c r="AC40" s="19">
        <f>Table2[[#This Row],[Total EV]]-Table2[[#This Row],[Total (V)]]</f>
        <v>0.80855778706174419</v>
      </c>
      <c r="AD40" s="3">
        <f>Table2[[#This Row],[Margin (V)]]-Table2[[#This Row],[EV (A)]]</f>
        <v>-5.7937500000000002</v>
      </c>
      <c r="AE40" t="b">
        <f>IF(VLOOKUP(Table2[[#This Row],[Home Team]],division_lookup,2,FALSE)=VLOOKUP(Table2[[#This Row],[Away Team]],division_lookup,2,FALSE),TRUE, FALSE)</f>
        <v>0</v>
      </c>
    </row>
    <row r="41" spans="1:31" x14ac:dyDescent="0.25">
      <c r="A41">
        <v>3</v>
      </c>
      <c r="B41" t="s">
        <v>12</v>
      </c>
      <c r="C41" t="s">
        <v>15</v>
      </c>
      <c r="D41">
        <v>10</v>
      </c>
      <c r="E41">
        <v>17</v>
      </c>
      <c r="F41" s="6">
        <f>VLOOKUP(Table2[[#This Row],[Home Team]],home_lookup,3,FALSE)+VLOOKUP(Table2[[#This Row],[Home Team]],off_pts_lookup,7,FALSE)+VLOOKUP(Table2[[#This Row],[Away Team]],def_diff_lookup,14,FALSE)</f>
        <v>27.980799145993547</v>
      </c>
      <c r="G41" s="6">
        <f>VLOOKUP(Table2[[#This Row],[Away Team]],off_pts_lookup,7,FALSE)+VLOOKUP(Table2[[#This Row],[Home Team]],def_diff_lookup,14,FALSE)</f>
        <v>29.349968434343431</v>
      </c>
      <c r="H41" s="3">
        <f>VLOOKUP(Table2[[#This Row],[Home Team]],pace_lookup,5,FALSE)</f>
        <v>63.909090909090907</v>
      </c>
      <c r="I41" s="3">
        <f>VLOOKUP(Table2[[#This Row],[Away Team]],pace_lookup,5,FALSE)</f>
        <v>67</v>
      </c>
      <c r="J41" s="13">
        <f t="shared" si="3"/>
        <v>27</v>
      </c>
      <c r="K41">
        <v>47</v>
      </c>
      <c r="N41" s="33">
        <f>Table2[[#This Row],[Home EV]]+Table2[[#This Row],[Away EV]]</f>
        <v>57.330767580336982</v>
      </c>
      <c r="O41" s="13">
        <f t="shared" si="5"/>
        <v>7</v>
      </c>
      <c r="P41">
        <v>1.5</v>
      </c>
      <c r="Q4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41" s="33">
        <v>-29.51</v>
      </c>
      <c r="S41" s="33">
        <f t="shared" si="6"/>
        <v>1.7937499999999997</v>
      </c>
      <c r="T41" s="33"/>
      <c r="U41" s="33"/>
      <c r="V41" s="33">
        <f>-VLOOKUP(Table2[[#This Row],[Home Team]],home_lookup,3,FALSE)-VLOOKUP(B41,lookup,2,FALSE)+VLOOKUP(C41,lookup,2,FALSE)</f>
        <v>4.1701793893599826</v>
      </c>
      <c r="W41" s="1">
        <f t="shared" si="4"/>
        <v>5.2062500000000007</v>
      </c>
      <c r="X41" s="1">
        <f>Table2[[#This Row],[ERR (A)]]^2</f>
        <v>27.105039062500008</v>
      </c>
      <c r="Y41" s="1">
        <f t="shared" si="7"/>
        <v>2.8298206106400174</v>
      </c>
      <c r="Z41" s="1">
        <f>Table2[[#This Row],[ERR (B)]]^2</f>
        <v>8.0078846884030419</v>
      </c>
      <c r="AA41" s="18">
        <f>Table2[[#This Row],[Pace (H)]]-Table2[[#This Row],[Pace (A)]]</f>
        <v>-3.0909090909090935</v>
      </c>
      <c r="AB41" s="19">
        <f>Table2[[#This Row],[Total EV]]-Table2[[#Totals],[Total EV]]</f>
        <v>8.4590577688493553</v>
      </c>
      <c r="AC41" s="19">
        <f>Table2[[#This Row],[Total EV]]-Table2[[#This Row],[Total (V)]]</f>
        <v>10.330767580336982</v>
      </c>
      <c r="AD41" s="3">
        <f>Table2[[#This Row],[Margin (V)]]-Table2[[#This Row],[EV (A)]]</f>
        <v>-0.29374999999999973</v>
      </c>
      <c r="AE41" t="b">
        <f>IF(VLOOKUP(Table2[[#This Row],[Home Team]],division_lookup,2,FALSE)=VLOOKUP(Table2[[#This Row],[Away Team]],division_lookup,2,FALSE),TRUE, FALSE)</f>
        <v>0</v>
      </c>
    </row>
    <row r="42" spans="1:31" x14ac:dyDescent="0.25">
      <c r="A42">
        <v>3</v>
      </c>
      <c r="B42" t="s">
        <v>25</v>
      </c>
      <c r="C42" t="s">
        <v>30</v>
      </c>
      <c r="D42">
        <v>27</v>
      </c>
      <c r="E42">
        <v>29</v>
      </c>
      <c r="F42" s="6">
        <f>VLOOKUP(Table2[[#This Row],[Home Team]],home_lookup,3,FALSE)+VLOOKUP(Table2[[#This Row],[Home Team]],off_pts_lookup,7,FALSE)+VLOOKUP(Table2[[#This Row],[Away Team]],def_diff_lookup,14,FALSE)</f>
        <v>23.97087502434632</v>
      </c>
      <c r="G42" s="6">
        <f>VLOOKUP(Table2[[#This Row],[Away Team]],off_pts_lookup,7,FALSE)+VLOOKUP(Table2[[#This Row],[Home Team]],def_diff_lookup,14,FALSE)</f>
        <v>22.527746212121212</v>
      </c>
      <c r="H42" s="3">
        <f>VLOOKUP(Table2[[#This Row],[Home Team]],pace_lookup,5,FALSE)</f>
        <v>62.6</v>
      </c>
      <c r="I42" s="3">
        <f>VLOOKUP(Table2[[#This Row],[Away Team]],pace_lookup,5,FALSE)</f>
        <v>65.5</v>
      </c>
      <c r="J42" s="13">
        <f t="shared" si="3"/>
        <v>56</v>
      </c>
      <c r="K42">
        <v>47</v>
      </c>
      <c r="N42" s="33">
        <f>Table2[[#This Row],[Home EV]]+Table2[[#This Row],[Away EV]]</f>
        <v>46.498621236467528</v>
      </c>
      <c r="O42" s="13">
        <f t="shared" si="5"/>
        <v>2</v>
      </c>
      <c r="P42">
        <v>-3.5</v>
      </c>
      <c r="Q4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42" s="33">
        <v>-7.61</v>
      </c>
      <c r="S42" s="33">
        <f t="shared" si="6"/>
        <v>-2.8062499999999999</v>
      </c>
      <c r="T42" s="33"/>
      <c r="U42" s="33"/>
      <c r="V42" s="33">
        <f>-VLOOKUP(Table2[[#This Row],[Home Team]],home_lookup,3,FALSE)-VLOOKUP(B42,lookup,2,FALSE)+VLOOKUP(C42,lookup,2,FALSE)</f>
        <v>-3.0431288122251074</v>
      </c>
      <c r="W42" s="1">
        <f t="shared" si="4"/>
        <v>4.8062500000000004</v>
      </c>
      <c r="X42" s="1">
        <f>Table2[[#This Row],[ERR (A)]]^2</f>
        <v>23.100039062500002</v>
      </c>
      <c r="Y42" s="1">
        <f t="shared" si="7"/>
        <v>5.0431288122251079</v>
      </c>
      <c r="Z42" s="1">
        <f>Table2[[#This Row],[ERR (B)]]^2</f>
        <v>25.433148216695027</v>
      </c>
      <c r="AA42" s="18">
        <f>Table2[[#This Row],[Pace (H)]]-Table2[[#This Row],[Pace (A)]]</f>
        <v>-2.8999999999999986</v>
      </c>
      <c r="AB42" s="19">
        <f>Table2[[#This Row],[Total EV]]-Table2[[#Totals],[Total EV]]</f>
        <v>-2.3730885750200983</v>
      </c>
      <c r="AC42" s="19">
        <f>Table2[[#This Row],[Total EV]]-Table2[[#This Row],[Total (V)]]</f>
        <v>-0.50137876353247179</v>
      </c>
      <c r="AD42" s="3">
        <f>Table2[[#This Row],[Margin (V)]]-Table2[[#This Row],[EV (A)]]</f>
        <v>-0.69375000000000009</v>
      </c>
      <c r="AE42" t="b">
        <f>IF(VLOOKUP(Table2[[#This Row],[Home Team]],division_lookup,2,FALSE)=VLOOKUP(Table2[[#This Row],[Away Team]],division_lookup,2,FALSE),TRUE, FALSE)</f>
        <v>1</v>
      </c>
    </row>
    <row r="43" spans="1:31" x14ac:dyDescent="0.25">
      <c r="A43">
        <v>3</v>
      </c>
      <c r="B43" t="s">
        <v>21</v>
      </c>
      <c r="C43" t="s">
        <v>31</v>
      </c>
      <c r="D43">
        <v>37</v>
      </c>
      <c r="E43">
        <v>18</v>
      </c>
      <c r="F43" s="6">
        <f>VLOOKUP(Table2[[#This Row],[Home Team]],home_lookup,3,FALSE)+VLOOKUP(Table2[[#This Row],[Home Team]],off_pts_lookup,7,FALSE)+VLOOKUP(Table2[[#This Row],[Away Team]],def_diff_lookup,14,FALSE)</f>
        <v>33.282532156854117</v>
      </c>
      <c r="G43" s="6">
        <f>VLOOKUP(Table2[[#This Row],[Away Team]],off_pts_lookup,7,FALSE)+VLOOKUP(Table2[[#This Row],[Home Team]],def_diff_lookup,14,FALSE)</f>
        <v>13.327746212121209</v>
      </c>
      <c r="H43" s="3">
        <f>VLOOKUP(Table2[[#This Row],[Home Team]],pace_lookup,5,FALSE)</f>
        <v>61.1</v>
      </c>
      <c r="I43" s="3">
        <f>VLOOKUP(Table2[[#This Row],[Away Team]],pace_lookup,5,FALSE)</f>
        <v>63</v>
      </c>
      <c r="J43" s="13">
        <f t="shared" si="3"/>
        <v>55</v>
      </c>
      <c r="K43">
        <v>41.5</v>
      </c>
      <c r="N43" s="33">
        <f>Table2[[#This Row],[Home EV]]+Table2[[#This Row],[Away EV]]</f>
        <v>46.610278368975329</v>
      </c>
      <c r="O43" s="13">
        <f t="shared" si="5"/>
        <v>-19</v>
      </c>
      <c r="P43">
        <v>-10.5</v>
      </c>
      <c r="Q4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43" s="33">
        <v>14.87</v>
      </c>
      <c r="S43" s="33">
        <f t="shared" si="6"/>
        <v>-16.806249999999999</v>
      </c>
      <c r="T43" s="33"/>
      <c r="U43" s="33"/>
      <c r="V43" s="33">
        <f>-VLOOKUP(Table2[[#This Row],[Home Team]],home_lookup,3,FALSE)-VLOOKUP(B43,lookup,2,FALSE)+VLOOKUP(C43,lookup,2,FALSE)</f>
        <v>-16.854785944732917</v>
      </c>
      <c r="W43" s="1">
        <f t="shared" si="4"/>
        <v>-2.1937500000000014</v>
      </c>
      <c r="X43" s="1">
        <f>Table2[[#This Row],[ERR (A)]]^2</f>
        <v>4.8125390625000062</v>
      </c>
      <c r="Y43" s="1">
        <f t="shared" si="7"/>
        <v>-2.1452140552670826</v>
      </c>
      <c r="Z43" s="1">
        <f>Table2[[#This Row],[ERR (B)]]^2</f>
        <v>4.6019433429154422</v>
      </c>
      <c r="AA43" s="18">
        <f>Table2[[#This Row],[Pace (H)]]-Table2[[#This Row],[Pace (A)]]</f>
        <v>-1.8999999999999986</v>
      </c>
      <c r="AB43" s="19">
        <f>Table2[[#This Row],[Total EV]]-Table2[[#Totals],[Total EV]]</f>
        <v>-2.261431442512297</v>
      </c>
      <c r="AC43" s="19">
        <f>Table2[[#This Row],[Total EV]]-Table2[[#This Row],[Total (V)]]</f>
        <v>5.1102783689753295</v>
      </c>
      <c r="AD43" s="3">
        <f>Table2[[#This Row],[Margin (V)]]-Table2[[#This Row],[EV (A)]]</f>
        <v>6.3062499999999986</v>
      </c>
      <c r="AE43" t="b">
        <f>IF(VLOOKUP(Table2[[#This Row],[Home Team]],division_lookup,2,FALSE)=VLOOKUP(Table2[[#This Row],[Away Team]],division_lookup,2,FALSE),TRUE, FALSE)</f>
        <v>1</v>
      </c>
    </row>
    <row r="44" spans="1:31" x14ac:dyDescent="0.25">
      <c r="A44">
        <v>3</v>
      </c>
      <c r="B44" t="s">
        <v>19</v>
      </c>
      <c r="C44" t="s">
        <v>32</v>
      </c>
      <c r="D44">
        <v>32</v>
      </c>
      <c r="E44">
        <v>37</v>
      </c>
      <c r="F44" s="6">
        <f>VLOOKUP(Table2[[#This Row],[Home Team]],home_lookup,3,FALSE)+VLOOKUP(Table2[[#This Row],[Home Team]],off_pts_lookup,7,FALSE)+VLOOKUP(Table2[[#This Row],[Away Team]],def_diff_lookup,14,FALSE)</f>
        <v>18.802624307599956</v>
      </c>
      <c r="G44" s="6">
        <f>VLOOKUP(Table2[[#This Row],[Away Team]],off_pts_lookup,7,FALSE)+VLOOKUP(Table2[[#This Row],[Home Team]],def_diff_lookup,14,FALSE)</f>
        <v>17.927746212121214</v>
      </c>
      <c r="H44" s="3">
        <f>VLOOKUP(Table2[[#This Row],[Home Team]],pace_lookup,5,FALSE)</f>
        <v>69.900000000000006</v>
      </c>
      <c r="I44" s="3">
        <f>VLOOKUP(Table2[[#This Row],[Away Team]],pace_lookup,5,FALSE)</f>
        <v>62.2</v>
      </c>
      <c r="J44" s="13">
        <f t="shared" si="3"/>
        <v>69</v>
      </c>
      <c r="K44">
        <v>40.5</v>
      </c>
      <c r="N44" s="33">
        <f>Table2[[#This Row],[Home EV]]+Table2[[#This Row],[Away EV]]</f>
        <v>36.73037051972117</v>
      </c>
      <c r="O44" s="13">
        <f t="shared" si="5"/>
        <v>5</v>
      </c>
      <c r="P44">
        <v>-3.5</v>
      </c>
      <c r="Q4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44" s="33">
        <v>8.8000000000000007</v>
      </c>
      <c r="S44" s="33">
        <f t="shared" si="6"/>
        <v>-4.1062499999999993</v>
      </c>
      <c r="T44" s="33"/>
      <c r="U44" s="33"/>
      <c r="V44" s="33">
        <f>-VLOOKUP(Table2[[#This Row],[Home Team]],home_lookup,3,FALSE)-VLOOKUP(B44,lookup,2,FALSE)+VLOOKUP(C44,lookup,2,FALSE)</f>
        <v>-0.67487809547874411</v>
      </c>
      <c r="W44" s="1">
        <f t="shared" si="4"/>
        <v>9.1062499999999993</v>
      </c>
      <c r="X44" s="1">
        <f>Table2[[#This Row],[ERR (A)]]^2</f>
        <v>82.923789062499992</v>
      </c>
      <c r="Y44" s="1">
        <f t="shared" si="7"/>
        <v>5.6748780954787446</v>
      </c>
      <c r="Z44" s="1">
        <f>Table2[[#This Row],[ERR (B)]]^2</f>
        <v>32.204241398544461</v>
      </c>
      <c r="AA44" s="18">
        <f>Table2[[#This Row],[Pace (H)]]-Table2[[#This Row],[Pace (A)]]</f>
        <v>7.7000000000000028</v>
      </c>
      <c r="AB44" s="19">
        <f>Table2[[#This Row],[Total EV]]-Table2[[#Totals],[Total EV]]</f>
        <v>-12.141339291766457</v>
      </c>
      <c r="AC44" s="19">
        <f>Table2[[#This Row],[Total EV]]-Table2[[#This Row],[Total (V)]]</f>
        <v>-3.7696294802788302</v>
      </c>
      <c r="AD44" s="3">
        <f>Table2[[#This Row],[Margin (V)]]-Table2[[#This Row],[EV (A)]]</f>
        <v>0.60624999999999929</v>
      </c>
      <c r="AE44" t="b">
        <f>IF(VLOOKUP(Table2[[#This Row],[Home Team]],division_lookup,2,FALSE)=VLOOKUP(Table2[[#This Row],[Away Team]],division_lookup,2,FALSE),TRUE, FALSE)</f>
        <v>0</v>
      </c>
    </row>
    <row r="45" spans="1:31" x14ac:dyDescent="0.25">
      <c r="A45">
        <v>3</v>
      </c>
      <c r="B45" t="s">
        <v>13</v>
      </c>
      <c r="C45" t="s">
        <v>29</v>
      </c>
      <c r="D45">
        <v>34</v>
      </c>
      <c r="E45">
        <v>3</v>
      </c>
      <c r="F45" s="6">
        <f>VLOOKUP(Table2[[#This Row],[Home Team]],home_lookup,3,FALSE)+VLOOKUP(Table2[[#This Row],[Home Team]],off_pts_lookup,7,FALSE)+VLOOKUP(Table2[[#This Row],[Away Team]],def_diff_lookup,14,FALSE)</f>
        <v>32.606267554652725</v>
      </c>
      <c r="G45" s="6">
        <f>VLOOKUP(Table2[[#This Row],[Away Team]],off_pts_lookup,7,FALSE)+VLOOKUP(Table2[[#This Row],[Home Team]],def_diff_lookup,14,FALSE)</f>
        <v>19.527746212121208</v>
      </c>
      <c r="H45" s="3">
        <f>VLOOKUP(Table2[[#This Row],[Home Team]],pace_lookup,5,FALSE)</f>
        <v>65.5</v>
      </c>
      <c r="I45" s="3">
        <f>VLOOKUP(Table2[[#This Row],[Away Team]],pace_lookup,5,FALSE)</f>
        <v>64.400000000000006</v>
      </c>
      <c r="J45" s="13">
        <f t="shared" si="3"/>
        <v>37</v>
      </c>
      <c r="K45">
        <v>46.5</v>
      </c>
      <c r="N45" s="33">
        <f>Table2[[#This Row],[Home EV]]+Table2[[#This Row],[Away EV]]</f>
        <v>52.134013766773933</v>
      </c>
      <c r="O45" s="13">
        <f t="shared" si="5"/>
        <v>-31</v>
      </c>
      <c r="P45">
        <v>4</v>
      </c>
      <c r="Q4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45" s="33">
        <v>-10.64</v>
      </c>
      <c r="S45" s="33">
        <f t="shared" si="6"/>
        <v>-7.7062499999999989</v>
      </c>
      <c r="T45" s="33"/>
      <c r="U45" s="33"/>
      <c r="V45" s="33">
        <f>-VLOOKUP(Table2[[#This Row],[Home Team]],home_lookup,3,FALSE)-VLOOKUP(B45,lookup,2,FALSE)+VLOOKUP(C45,lookup,2,FALSE)</f>
        <v>-14.678521342531512</v>
      </c>
      <c r="W45" s="1">
        <f t="shared" si="4"/>
        <v>-23.293750000000003</v>
      </c>
      <c r="X45" s="1">
        <f>Table2[[#This Row],[ERR (A)]]^2</f>
        <v>542.59878906250015</v>
      </c>
      <c r="Y45" s="1">
        <f t="shared" si="7"/>
        <v>-16.321478657468489</v>
      </c>
      <c r="Z45" s="1">
        <f>Table2[[#This Row],[ERR (B)]]^2</f>
        <v>266.3906655661994</v>
      </c>
      <c r="AA45" s="18">
        <f>Table2[[#This Row],[Pace (H)]]-Table2[[#This Row],[Pace (A)]]</f>
        <v>1.0999999999999943</v>
      </c>
      <c r="AB45" s="19">
        <f>Table2[[#This Row],[Total EV]]-Table2[[#Totals],[Total EV]]</f>
        <v>3.2623039552863062</v>
      </c>
      <c r="AC45" s="19">
        <f>Table2[[#This Row],[Total EV]]-Table2[[#This Row],[Total (V)]]</f>
        <v>5.6340137667739327</v>
      </c>
      <c r="AD45" s="3">
        <f>Table2[[#This Row],[Margin (V)]]-Table2[[#This Row],[EV (A)]]</f>
        <v>11.706249999999999</v>
      </c>
      <c r="AE45" t="b">
        <f>IF(VLOOKUP(Table2[[#This Row],[Home Team]],division_lookup,2,FALSE)=VLOOKUP(Table2[[#This Row],[Away Team]],division_lookup,2,FALSE),TRUE, FALSE)</f>
        <v>0</v>
      </c>
    </row>
    <row r="46" spans="1:31" x14ac:dyDescent="0.25">
      <c r="A46">
        <v>3</v>
      </c>
      <c r="B46" t="s">
        <v>24</v>
      </c>
      <c r="C46" t="s">
        <v>18</v>
      </c>
      <c r="D46">
        <v>26</v>
      </c>
      <c r="E46">
        <v>22</v>
      </c>
      <c r="F46" s="6">
        <f>VLOOKUP(Table2[[#This Row],[Home Team]],home_lookup,3,FALSE)+VLOOKUP(Table2[[#This Row],[Home Team]],off_pts_lookup,7,FALSE)+VLOOKUP(Table2[[#This Row],[Away Team]],def_diff_lookup,14,FALSE)</f>
        <v>30.939095567205097</v>
      </c>
      <c r="G46" s="6">
        <f>VLOOKUP(Table2[[#This Row],[Away Team]],off_pts_lookup,7,FALSE)+VLOOKUP(Table2[[#This Row],[Home Team]],def_diff_lookup,14,FALSE)</f>
        <v>33.62774621212121</v>
      </c>
      <c r="H46" s="3">
        <f>VLOOKUP(Table2[[#This Row],[Home Team]],pace_lookup,5,FALSE)</f>
        <v>65.5</v>
      </c>
      <c r="I46" s="3">
        <f>VLOOKUP(Table2[[#This Row],[Away Team]],pace_lookup,5,FALSE)</f>
        <v>66.400000000000006</v>
      </c>
      <c r="J46" s="13">
        <f t="shared" si="3"/>
        <v>48</v>
      </c>
      <c r="K46">
        <v>51.5</v>
      </c>
      <c r="N46" s="33">
        <f>Table2[[#This Row],[Home EV]]+Table2[[#This Row],[Away EV]]</f>
        <v>64.56684177932631</v>
      </c>
      <c r="O46" s="13">
        <f t="shared" si="5"/>
        <v>-4</v>
      </c>
      <c r="P46">
        <v>-1.5</v>
      </c>
      <c r="Q4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46" s="33">
        <v>-3.91</v>
      </c>
      <c r="S46" s="33">
        <f t="shared" si="6"/>
        <v>2.7937500000000002</v>
      </c>
      <c r="T46" s="33"/>
      <c r="U46" s="33"/>
      <c r="V46" s="33">
        <f>-VLOOKUP(Table2[[#This Row],[Home Team]],home_lookup,3,FALSE)-VLOOKUP(B46,lookup,2,FALSE)+VLOOKUP(C46,lookup,2,FALSE)</f>
        <v>5.9886506449161097</v>
      </c>
      <c r="W46" s="1">
        <f t="shared" si="4"/>
        <v>-6.7937500000000002</v>
      </c>
      <c r="X46" s="1">
        <f>Table2[[#This Row],[ERR (A)]]^2</f>
        <v>46.155039062500002</v>
      </c>
      <c r="Y46" s="1">
        <f t="shared" si="7"/>
        <v>-9.9886506449161097</v>
      </c>
      <c r="Z46" s="1">
        <f>Table2[[#This Row],[ERR (B)]]^2</f>
        <v>99.773141706183011</v>
      </c>
      <c r="AA46" s="18">
        <f>Table2[[#This Row],[Pace (H)]]-Table2[[#This Row],[Pace (A)]]</f>
        <v>-0.90000000000000568</v>
      </c>
      <c r="AB46" s="19">
        <f>Table2[[#This Row],[Total EV]]-Table2[[#Totals],[Total EV]]</f>
        <v>15.695131967838684</v>
      </c>
      <c r="AC46" s="19">
        <f>Table2[[#This Row],[Total EV]]-Table2[[#This Row],[Total (V)]]</f>
        <v>13.06684177932631</v>
      </c>
      <c r="AD46" s="3">
        <f>Table2[[#This Row],[Margin (V)]]-Table2[[#This Row],[EV (A)]]</f>
        <v>-4.2937500000000002</v>
      </c>
      <c r="AE46" t="b">
        <f>IF(VLOOKUP(Table2[[#This Row],[Home Team]],division_lookup,2,FALSE)=VLOOKUP(Table2[[#This Row],[Away Team]],division_lookup,2,FALSE),TRUE, FALSE)</f>
        <v>0</v>
      </c>
    </row>
    <row r="47" spans="1:31" x14ac:dyDescent="0.25">
      <c r="A47">
        <v>3</v>
      </c>
      <c r="B47" t="s">
        <v>17</v>
      </c>
      <c r="C47" t="s">
        <v>8</v>
      </c>
      <c r="D47">
        <v>24</v>
      </c>
      <c r="E47">
        <v>3</v>
      </c>
      <c r="F47" s="6">
        <f>VLOOKUP(Table2[[#This Row],[Home Team]],home_lookup,3,FALSE)+VLOOKUP(Table2[[#This Row],[Home Team]],off_pts_lookup,7,FALSE)+VLOOKUP(Table2[[#This Row],[Away Team]],def_diff_lookup,14,FALSE)</f>
        <v>27.505172522175638</v>
      </c>
      <c r="G47" s="6">
        <f>VLOOKUP(Table2[[#This Row],[Away Team]],off_pts_lookup,7,FALSE)+VLOOKUP(Table2[[#This Row],[Home Team]],def_diff_lookup,14,FALSE)</f>
        <v>13.727746212121207</v>
      </c>
      <c r="H47" s="3">
        <f>VLOOKUP(Table2[[#This Row],[Home Team]],pace_lookup,5,FALSE)</f>
        <v>62.1</v>
      </c>
      <c r="I47" s="3">
        <f>VLOOKUP(Table2[[#This Row],[Away Team]],pace_lookup,5,FALSE)</f>
        <v>62.6</v>
      </c>
      <c r="J47" s="13">
        <f t="shared" si="3"/>
        <v>27</v>
      </c>
      <c r="K47">
        <v>44.5</v>
      </c>
      <c r="N47" s="33">
        <f>Table2[[#This Row],[Home EV]]+Table2[[#This Row],[Away EV]]</f>
        <v>41.232918734296845</v>
      </c>
      <c r="O47" s="13">
        <f t="shared" si="5"/>
        <v>-21</v>
      </c>
      <c r="P47">
        <v>-3</v>
      </c>
      <c r="Q4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47" s="33">
        <v>-10.59</v>
      </c>
      <c r="S47" s="33">
        <f t="shared" si="6"/>
        <v>-11.90625</v>
      </c>
      <c r="T47" s="33"/>
      <c r="U47" s="33"/>
      <c r="V47" s="33">
        <f>-VLOOKUP(Table2[[#This Row],[Home Team]],home_lookup,3,FALSE)-VLOOKUP(B47,lookup,2,FALSE)+VLOOKUP(C47,lookup,2,FALSE)</f>
        <v>-12.777426310054427</v>
      </c>
      <c r="W47" s="1">
        <f t="shared" si="4"/>
        <v>-9.09375</v>
      </c>
      <c r="X47" s="1">
        <f>Table2[[#This Row],[ERR (A)]]^2</f>
        <v>82.6962890625</v>
      </c>
      <c r="Y47" s="1">
        <f t="shared" si="7"/>
        <v>-8.2225736899455732</v>
      </c>
      <c r="Z47" s="1">
        <f>Table2[[#This Row],[ERR (B)]]^2</f>
        <v>67.610718086585166</v>
      </c>
      <c r="AA47" s="18">
        <f>Table2[[#This Row],[Pace (H)]]-Table2[[#This Row],[Pace (A)]]</f>
        <v>-0.5</v>
      </c>
      <c r="AB47" s="19">
        <f>Table2[[#This Row],[Total EV]]-Table2[[#Totals],[Total EV]]</f>
        <v>-7.6387910771907812</v>
      </c>
      <c r="AC47" s="19">
        <f>Table2[[#This Row],[Total EV]]-Table2[[#This Row],[Total (V)]]</f>
        <v>-3.2670812657031547</v>
      </c>
      <c r="AD47" s="3">
        <f>Table2[[#This Row],[Margin (V)]]-Table2[[#This Row],[EV (A)]]</f>
        <v>8.90625</v>
      </c>
      <c r="AE47" t="b">
        <f>IF(VLOOKUP(Table2[[#This Row],[Home Team]],division_lookup,2,FALSE)=VLOOKUP(Table2[[#This Row],[Away Team]],division_lookup,2,FALSE),TRUE, FALSE)</f>
        <v>0</v>
      </c>
    </row>
    <row r="48" spans="1:31" x14ac:dyDescent="0.25">
      <c r="A48">
        <v>3</v>
      </c>
      <c r="B48" t="s">
        <v>26</v>
      </c>
      <c r="C48" t="s">
        <v>10</v>
      </c>
      <c r="D48">
        <v>31</v>
      </c>
      <c r="E48">
        <v>17</v>
      </c>
      <c r="F48" s="6">
        <f>VLOOKUP(Table2[[#This Row],[Home Team]],home_lookup,3,FALSE)+VLOOKUP(Table2[[#This Row],[Home Team]],off_pts_lookup,7,FALSE)+VLOOKUP(Table2[[#This Row],[Away Team]],def_diff_lookup,14,FALSE)</f>
        <v>29.436507972904355</v>
      </c>
      <c r="G48" s="6">
        <f>VLOOKUP(Table2[[#This Row],[Away Team]],off_pts_lookup,7,FALSE)+VLOOKUP(Table2[[#This Row],[Home Team]],def_diff_lookup,14,FALSE)</f>
        <v>11.52774621212121</v>
      </c>
      <c r="H48" s="3">
        <f>VLOOKUP(Table2[[#This Row],[Home Team]],pace_lookup,5,FALSE)</f>
        <v>66.5</v>
      </c>
      <c r="I48" s="3">
        <f>VLOOKUP(Table2[[#This Row],[Away Team]],pace_lookup,5,FALSE)</f>
        <v>59.3</v>
      </c>
      <c r="J48" s="13">
        <f t="shared" si="3"/>
        <v>48</v>
      </c>
      <c r="K48">
        <v>45</v>
      </c>
      <c r="N48" s="33">
        <f>Table2[[#This Row],[Home EV]]+Table2[[#This Row],[Away EV]]</f>
        <v>40.964254185025567</v>
      </c>
      <c r="O48" s="13">
        <f t="shared" si="5"/>
        <v>-14</v>
      </c>
      <c r="P48">
        <v>-6.5</v>
      </c>
      <c r="Q4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48" s="33">
        <v>13.1</v>
      </c>
      <c r="S48" s="33">
        <f t="shared" si="6"/>
        <v>-19.206250000000001</v>
      </c>
      <c r="T48" s="33"/>
      <c r="U48" s="33"/>
      <c r="V48" s="33">
        <f>-VLOOKUP(Table2[[#This Row],[Home Team]],home_lookup,3,FALSE)-VLOOKUP(B48,lookup,2,FALSE)+VLOOKUP(C48,lookup,2,FALSE)</f>
        <v>-16.408761760783143</v>
      </c>
      <c r="W48" s="1">
        <f t="shared" si="4"/>
        <v>5.2062500000000007</v>
      </c>
      <c r="X48" s="1">
        <f>Table2[[#This Row],[ERR (A)]]^2</f>
        <v>27.105039062500008</v>
      </c>
      <c r="Y48" s="1">
        <f t="shared" si="7"/>
        <v>2.4087617607831433</v>
      </c>
      <c r="Z48" s="1">
        <f>Table2[[#This Row],[ERR (B)]]^2</f>
        <v>5.8021332202111084</v>
      </c>
      <c r="AA48" s="18">
        <f>Table2[[#This Row],[Pace (H)]]-Table2[[#This Row],[Pace (A)]]</f>
        <v>7.2000000000000028</v>
      </c>
      <c r="AB48" s="19">
        <f>Table2[[#This Row],[Total EV]]-Table2[[#Totals],[Total EV]]</f>
        <v>-7.9074556264620597</v>
      </c>
      <c r="AC48" s="19">
        <f>Table2[[#This Row],[Total EV]]-Table2[[#This Row],[Total (V)]]</f>
        <v>-4.0357458149744332</v>
      </c>
      <c r="AD48" s="3">
        <f>Table2[[#This Row],[Margin (V)]]-Table2[[#This Row],[EV (A)]]</f>
        <v>12.706250000000001</v>
      </c>
      <c r="AE48" t="b">
        <f>IF(VLOOKUP(Table2[[#This Row],[Home Team]],division_lookup,2,FALSE)=VLOOKUP(Table2[[#This Row],[Away Team]],division_lookup,2,FALSE),TRUE, FALSE)</f>
        <v>0</v>
      </c>
    </row>
    <row r="49" spans="1:31" ht="15.75" thickBot="1" x14ac:dyDescent="0.3">
      <c r="A49" s="9">
        <v>3</v>
      </c>
      <c r="B49" s="9" t="s">
        <v>16</v>
      </c>
      <c r="C49" s="9" t="s">
        <v>20</v>
      </c>
      <c r="D49" s="9">
        <v>32</v>
      </c>
      <c r="E49" s="9">
        <v>45</v>
      </c>
      <c r="F49" s="30">
        <f>VLOOKUP(Table2[[#This Row],[Home Team]],home_lookup,3,FALSE)+VLOOKUP(Table2[[#This Row],[Home Team]],off_pts_lookup,7,FALSE)+VLOOKUP(Table2[[#This Row],[Away Team]],def_diff_lookup,14,FALSE)</f>
        <v>34.626063901248472</v>
      </c>
      <c r="G49" s="30">
        <f>VLOOKUP(Table2[[#This Row],[Away Team]],off_pts_lookup,7,FALSE)+VLOOKUP(Table2[[#This Row],[Home Team]],def_diff_lookup,14,FALSE)</f>
        <v>37.727746212121211</v>
      </c>
      <c r="H49" s="15">
        <f>VLOOKUP(Table2[[#This Row],[Home Team]],pace_lookup,5,FALSE)</f>
        <v>69.400000000000006</v>
      </c>
      <c r="I49" s="15">
        <f>VLOOKUP(Table2[[#This Row],[Away Team]],pace_lookup,5,FALSE)</f>
        <v>61.9</v>
      </c>
      <c r="J49" s="14">
        <f t="shared" si="3"/>
        <v>77</v>
      </c>
      <c r="K49" s="9">
        <v>54.5</v>
      </c>
      <c r="L49" s="9"/>
      <c r="M49" s="9"/>
      <c r="N49" s="34">
        <f>Table2[[#This Row],[Home EV]]+Table2[[#This Row],[Away EV]]</f>
        <v>72.35381011336969</v>
      </c>
      <c r="O49" s="14">
        <f t="shared" si="5"/>
        <v>13</v>
      </c>
      <c r="P49" s="9">
        <v>-3</v>
      </c>
      <c r="Q49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49" s="34">
        <v>6.12</v>
      </c>
      <c r="S49" s="34">
        <f t="shared" si="6"/>
        <v>1.3937499999999998</v>
      </c>
      <c r="T49" s="34"/>
      <c r="U49" s="34"/>
      <c r="V49" s="34">
        <f>-VLOOKUP(Table2[[#This Row],[Home Team]],home_lookup,3,FALSE)-VLOOKUP(B49,lookup,2,FALSE)+VLOOKUP(C49,lookup,2,FALSE)</f>
        <v>3.6016823108727367</v>
      </c>
      <c r="W49" s="16">
        <f t="shared" si="4"/>
        <v>11.606249999999999</v>
      </c>
      <c r="X49" s="16">
        <f>Table2[[#This Row],[ERR (A)]]^2</f>
        <v>134.70503906249999</v>
      </c>
      <c r="Y49" s="16">
        <f t="shared" si="7"/>
        <v>9.3983176891272642</v>
      </c>
      <c r="Z49" s="16">
        <f>Table2[[#This Row],[ERR (B)]]^2</f>
        <v>88.328375385762442</v>
      </c>
      <c r="AA49" s="24">
        <f>Table2[[#This Row],[Pace (H)]]-Table2[[#This Row],[Pace (A)]]</f>
        <v>7.5000000000000071</v>
      </c>
      <c r="AB49" s="15">
        <f>Table2[[#This Row],[Total EV]]-Table2[[#Totals],[Total EV]]</f>
        <v>23.482100301882063</v>
      </c>
      <c r="AC49" s="15">
        <f>Table2[[#This Row],[Total EV]]-Table2[[#This Row],[Total (V)]]</f>
        <v>17.85381011336969</v>
      </c>
      <c r="AD49" s="15">
        <f>Table2[[#This Row],[Margin (V)]]-Table2[[#This Row],[EV (A)]]</f>
        <v>-4.3937499999999998</v>
      </c>
      <c r="AE49" s="9" t="b">
        <f>IF(VLOOKUP(Table2[[#This Row],[Home Team]],division_lookup,2,FALSE)=VLOOKUP(Table2[[#This Row],[Away Team]],division_lookup,2,FALSE),TRUE, FALSE)</f>
        <v>1</v>
      </c>
    </row>
    <row r="50" spans="1:31" x14ac:dyDescent="0.25">
      <c r="A50">
        <v>4</v>
      </c>
      <c r="B50" t="s">
        <v>7</v>
      </c>
      <c r="C50" t="s">
        <v>22</v>
      </c>
      <c r="D50">
        <v>22</v>
      </c>
      <c r="E50">
        <v>7</v>
      </c>
      <c r="F50" s="6">
        <f>VLOOKUP(Table2[[#This Row],[Home Team]],home_lookup,3,FALSE)+VLOOKUP(Table2[[#This Row],[Home Team]],off_pts_lookup,7,FALSE)+VLOOKUP(Table2[[#This Row],[Away Team]],def_diff_lookup,14,FALSE)</f>
        <v>22.95754605356132</v>
      </c>
      <c r="G50" s="6">
        <f>VLOOKUP(Table2[[#This Row],[Away Team]],off_pts_lookup,7,FALSE)+VLOOKUP(Table2[[#This Row],[Home Team]],def_diff_lookup,14,FALSE)</f>
        <v>21.527746212121212</v>
      </c>
      <c r="H50" s="3">
        <f>VLOOKUP(Table2[[#This Row],[Home Team]],pace_lookup,5,FALSE)</f>
        <v>65.900000000000006</v>
      </c>
      <c r="I50" s="3">
        <f>VLOOKUP(Table2[[#This Row],[Away Team]],pace_lookup,5,FALSE)</f>
        <v>56.9</v>
      </c>
      <c r="J50" s="13">
        <f t="shared" si="3"/>
        <v>29</v>
      </c>
      <c r="K50">
        <v>46.5</v>
      </c>
      <c r="N50" s="33">
        <f>Table2[[#This Row],[Home EV]]+Table2[[#This Row],[Away EV]]</f>
        <v>44.485292265682531</v>
      </c>
      <c r="O50" s="13">
        <f t="shared" si="5"/>
        <v>-15</v>
      </c>
      <c r="P50">
        <v>-7.5</v>
      </c>
      <c r="Q5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0" s="33">
        <v>5.35</v>
      </c>
      <c r="S50" s="33">
        <f t="shared" si="6"/>
        <v>-1.8062499999999999</v>
      </c>
      <c r="T50" s="33"/>
      <c r="U50" s="33"/>
      <c r="V50" s="33">
        <f>-VLOOKUP(Table2[[#This Row],[Home Team]],home_lookup,3,FALSE)-VLOOKUP(B50,lookup,2,FALSE)+VLOOKUP(C50,lookup,2,FALSE)</f>
        <v>-3.2297998414401072</v>
      </c>
      <c r="W50" s="1">
        <f t="shared" si="4"/>
        <v>-13.19375</v>
      </c>
      <c r="X50" s="1">
        <f>Table2[[#This Row],[ERR (A)]]^2</f>
        <v>174.0750390625</v>
      </c>
      <c r="Y50" s="1">
        <f t="shared" si="7"/>
        <v>-11.770200158559893</v>
      </c>
      <c r="Z50" s="1">
        <f>Table2[[#This Row],[ERR (B)]]^2</f>
        <v>138.53761177256334</v>
      </c>
      <c r="AA50" s="18">
        <f>Table2[[#This Row],[Pace (H)]]-Table2[[#This Row],[Pace (A)]]</f>
        <v>9.0000000000000071</v>
      </c>
      <c r="AB50" s="19">
        <f>Table2[[#This Row],[Total EV]]-Table2[[#Totals],[Total EV]]</f>
        <v>-4.3864175458050951</v>
      </c>
      <c r="AC50" s="19">
        <f>Table2[[#This Row],[Total EV]]-Table2[[#This Row],[Total (V)]]</f>
        <v>-2.0147077343174686</v>
      </c>
      <c r="AD50" s="3">
        <f>Table2[[#This Row],[Margin (V)]]-Table2[[#This Row],[EV (A)]]</f>
        <v>-5.6937499999999996</v>
      </c>
      <c r="AE50" t="b">
        <f>IF(VLOOKUP(Table2[[#This Row],[Home Team]],division_lookup,2,FALSE)=VLOOKUP(Table2[[#This Row],[Away Team]],division_lookup,2,FALSE),TRUE, FALSE)</f>
        <v>0</v>
      </c>
    </row>
    <row r="51" spans="1:31" x14ac:dyDescent="0.25">
      <c r="A51">
        <v>4</v>
      </c>
      <c r="B51" t="s">
        <v>4</v>
      </c>
      <c r="C51" t="s">
        <v>24</v>
      </c>
      <c r="D51">
        <v>30</v>
      </c>
      <c r="E51">
        <v>27</v>
      </c>
      <c r="F51" s="6">
        <f>VLOOKUP(Table2[[#This Row],[Home Team]],home_lookup,3,FALSE)+VLOOKUP(Table2[[#This Row],[Home Team]],off_pts_lookup,7,FALSE)+VLOOKUP(Table2[[#This Row],[Away Team]],def_diff_lookup,14,FALSE)</f>
        <v>26.611151189949048</v>
      </c>
      <c r="G51" s="6">
        <f>VLOOKUP(Table2[[#This Row],[Away Team]],off_pts_lookup,7,FALSE)+VLOOKUP(Table2[[#This Row],[Home Team]],def_diff_lookup,14,FALSE)</f>
        <v>29.92774621212121</v>
      </c>
      <c r="H51" s="3">
        <f>VLOOKUP(Table2[[#This Row],[Home Team]],pace_lookup,5,FALSE)</f>
        <v>65.099999999999994</v>
      </c>
      <c r="I51" s="3">
        <f>VLOOKUP(Table2[[#This Row],[Away Team]],pace_lookup,5,FALSE)</f>
        <v>65.5</v>
      </c>
      <c r="J51" s="13">
        <f t="shared" si="3"/>
        <v>57</v>
      </c>
      <c r="K51">
        <v>48.5</v>
      </c>
      <c r="N51" s="33">
        <f>Table2[[#This Row],[Home EV]]+Table2[[#This Row],[Away EV]]</f>
        <v>56.538897402070262</v>
      </c>
      <c r="O51" s="13">
        <f t="shared" si="5"/>
        <v>-3</v>
      </c>
      <c r="P51">
        <v>1</v>
      </c>
      <c r="Q5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1" s="33">
        <v>4.58</v>
      </c>
      <c r="S51" s="33">
        <f>-VLOOKUP(B51,lookup,2,FALSE)+VLOOKUP(C51,lookup,2,FALSE)</f>
        <v>5.4999999999999991</v>
      </c>
      <c r="T51" s="33"/>
      <c r="U51" s="33"/>
      <c r="V51" s="33">
        <f>-VLOOKUP(Table2[[#This Row],[Home Team]],home_lookup,3,FALSE)-VLOOKUP(B51,lookup,2,FALSE)+VLOOKUP(C51,lookup,2,FALSE)</f>
        <v>2.6165950221721532</v>
      </c>
      <c r="W51" s="1">
        <f t="shared" si="4"/>
        <v>-8.5</v>
      </c>
      <c r="X51" s="1">
        <f>Table2[[#This Row],[ERR (A)]]^2</f>
        <v>72.25</v>
      </c>
      <c r="Y51" s="1">
        <f t="shared" si="7"/>
        <v>-5.6165950221721532</v>
      </c>
      <c r="Z51" s="1">
        <f>Table2[[#This Row],[ERR (B)]]^2</f>
        <v>31.54613964308901</v>
      </c>
      <c r="AA51" s="18">
        <f>Table2[[#This Row],[Pace (H)]]-Table2[[#This Row],[Pace (A)]]</f>
        <v>-0.40000000000000568</v>
      </c>
      <c r="AB51" s="19">
        <f>Table2[[#This Row],[Total EV]]-Table2[[#Totals],[Total EV]]</f>
        <v>7.6671875905826354</v>
      </c>
      <c r="AC51" s="19">
        <f>Table2[[#This Row],[Total EV]]-Table2[[#This Row],[Total (V)]]</f>
        <v>8.0388974020702619</v>
      </c>
      <c r="AD51" s="3">
        <f>Table2[[#This Row],[Margin (V)]]-Table2[[#This Row],[EV (A)]]</f>
        <v>-4.4999999999999991</v>
      </c>
      <c r="AE51" t="b">
        <f>IF(VLOOKUP(Table2[[#This Row],[Home Team]],division_lookup,2,FALSE)=VLOOKUP(Table2[[#This Row],[Away Team]],division_lookup,2,FALSE),TRUE, FALSE)</f>
        <v>1</v>
      </c>
    </row>
    <row r="52" spans="1:31" x14ac:dyDescent="0.25">
      <c r="A52">
        <v>4</v>
      </c>
      <c r="B52" t="s">
        <v>10</v>
      </c>
      <c r="C52" t="s">
        <v>23</v>
      </c>
      <c r="D52">
        <v>17</v>
      </c>
      <c r="E52">
        <v>14</v>
      </c>
      <c r="F52" s="6">
        <f>VLOOKUP(Table2[[#This Row],[Home Team]],home_lookup,3,FALSE)+VLOOKUP(Table2[[#This Row],[Home Team]],off_pts_lookup,7,FALSE)+VLOOKUP(Table2[[#This Row],[Away Team]],def_diff_lookup,14,FALSE)</f>
        <v>22.956745113923148</v>
      </c>
      <c r="G52" s="6">
        <f>VLOOKUP(Table2[[#This Row],[Away Team]],off_pts_lookup,7,FALSE)+VLOOKUP(Table2[[#This Row],[Home Team]],def_diff_lookup,14,FALSE)</f>
        <v>23.92774621212121</v>
      </c>
      <c r="H52" s="3">
        <f>VLOOKUP(Table2[[#This Row],[Home Team]],pace_lookup,5,FALSE)</f>
        <v>59.3</v>
      </c>
      <c r="I52" s="3">
        <f>VLOOKUP(Table2[[#This Row],[Away Team]],pace_lookup,5,FALSE)</f>
        <v>59.4</v>
      </c>
      <c r="J52" s="13">
        <f t="shared" si="3"/>
        <v>31</v>
      </c>
      <c r="K52">
        <v>48</v>
      </c>
      <c r="N52" s="33">
        <f>Table2[[#This Row],[Home EV]]+Table2[[#This Row],[Away EV]]</f>
        <v>46.884491326044355</v>
      </c>
      <c r="O52" s="13">
        <f t="shared" si="5"/>
        <v>-3</v>
      </c>
      <c r="P52">
        <v>3.5</v>
      </c>
      <c r="Q5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2" s="33">
        <v>5.57</v>
      </c>
      <c r="S52" s="33">
        <f t="shared" ref="S52:S94" si="8">-home-VLOOKUP(B52,lookup,2,FALSE)+VLOOKUP(C52,lookup,2,FALSE)</f>
        <v>4.2937500000000002</v>
      </c>
      <c r="T52" s="33"/>
      <c r="U52" s="33"/>
      <c r="V52" s="33">
        <f>-VLOOKUP(Table2[[#This Row],[Home Team]],home_lookup,3,FALSE)-VLOOKUP(B52,lookup,2,FALSE)+VLOOKUP(C52,lookup,2,FALSE)</f>
        <v>-0.42899890180193512</v>
      </c>
      <c r="W52" s="1">
        <f t="shared" si="4"/>
        <v>-7.2937500000000002</v>
      </c>
      <c r="X52" s="1">
        <f>Table2[[#This Row],[ERR (A)]]^2</f>
        <v>53.198789062500005</v>
      </c>
      <c r="Y52" s="1">
        <f t="shared" si="7"/>
        <v>-2.5710010981980647</v>
      </c>
      <c r="Z52" s="1">
        <f>Table2[[#This Row],[ERR (B)]]^2</f>
        <v>6.6100466469356549</v>
      </c>
      <c r="AA52" s="18">
        <f>Table2[[#This Row],[Pace (H)]]-Table2[[#This Row],[Pace (A)]]</f>
        <v>-0.10000000000000142</v>
      </c>
      <c r="AB52" s="19">
        <f>Table2[[#This Row],[Total EV]]-Table2[[#Totals],[Total EV]]</f>
        <v>-1.9872184854432717</v>
      </c>
      <c r="AC52" s="19">
        <f>Table2[[#This Row],[Total EV]]-Table2[[#This Row],[Total (V)]]</f>
        <v>-1.1155086739556452</v>
      </c>
      <c r="AD52" s="3">
        <f>Table2[[#This Row],[Margin (V)]]-Table2[[#This Row],[EV (A)]]</f>
        <v>-0.79375000000000018</v>
      </c>
      <c r="AE52" t="b">
        <f>IF(VLOOKUP(Table2[[#This Row],[Home Team]],division_lookup,2,FALSE)=VLOOKUP(Table2[[#This Row],[Away Team]],division_lookup,2,FALSE),TRUE, FALSE)</f>
        <v>1</v>
      </c>
    </row>
    <row r="53" spans="1:31" x14ac:dyDescent="0.25">
      <c r="A53">
        <v>4</v>
      </c>
      <c r="B53" t="s">
        <v>27</v>
      </c>
      <c r="C53" t="s">
        <v>6</v>
      </c>
      <c r="D53">
        <v>0</v>
      </c>
      <c r="E53">
        <v>16</v>
      </c>
      <c r="F53" s="6">
        <f>VLOOKUP(Table2[[#This Row],[Home Team]],home_lookup,3,FALSE)+VLOOKUP(Table2[[#This Row],[Home Team]],off_pts_lookup,7,FALSE)+VLOOKUP(Table2[[#This Row],[Away Team]],def_diff_lookup,14,FALSE)</f>
        <v>23.628349840877142</v>
      </c>
      <c r="G53" s="6">
        <f>VLOOKUP(Table2[[#This Row],[Away Team]],off_pts_lookup,7,FALSE)+VLOOKUP(Table2[[#This Row],[Home Team]],def_diff_lookup,14,FALSE)</f>
        <v>20.427746212121214</v>
      </c>
      <c r="H53" s="3">
        <f>VLOOKUP(Table2[[#This Row],[Home Team]],pace_lookup,5,FALSE)</f>
        <v>63.9</v>
      </c>
      <c r="I53" s="3">
        <f>VLOOKUP(Table2[[#This Row],[Away Team]],pace_lookup,5,FALSE)</f>
        <v>62.5</v>
      </c>
      <c r="J53" s="13">
        <f t="shared" si="3"/>
        <v>16</v>
      </c>
      <c r="K53">
        <v>41</v>
      </c>
      <c r="N53" s="33">
        <f>Table2[[#This Row],[Home EV]]+Table2[[#This Row],[Away EV]]</f>
        <v>44.056096052998356</v>
      </c>
      <c r="O53" s="13">
        <f t="shared" si="5"/>
        <v>16</v>
      </c>
      <c r="P53">
        <v>-3.5</v>
      </c>
      <c r="Q5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3" s="33">
        <v>-15.75</v>
      </c>
      <c r="S53" s="33">
        <f t="shared" si="8"/>
        <v>-7.1062500000000011</v>
      </c>
      <c r="T53" s="33"/>
      <c r="U53" s="33"/>
      <c r="V53" s="33">
        <f>-VLOOKUP(Table2[[#This Row],[Home Team]],home_lookup,3,FALSE)-VLOOKUP(B53,lookup,2,FALSE)+VLOOKUP(C53,lookup,2,FALSE)</f>
        <v>-2.1006036287559304</v>
      </c>
      <c r="W53" s="1">
        <f t="shared" si="4"/>
        <v>23.106250000000003</v>
      </c>
      <c r="X53" s="1">
        <f>Table2[[#This Row],[ERR (A)]]^2</f>
        <v>533.8987890625001</v>
      </c>
      <c r="Y53" s="1">
        <f t="shared" si="7"/>
        <v>18.10060362875593</v>
      </c>
      <c r="Z53" s="1">
        <f>Table2[[#This Row],[ERR (B)]]^2</f>
        <v>327.63185172533235</v>
      </c>
      <c r="AA53" s="18">
        <f>Table2[[#This Row],[Pace (H)]]-Table2[[#This Row],[Pace (A)]]</f>
        <v>1.3999999999999986</v>
      </c>
      <c r="AB53" s="19">
        <f>Table2[[#This Row],[Total EV]]-Table2[[#Totals],[Total EV]]</f>
        <v>-4.8156137584892704</v>
      </c>
      <c r="AC53" s="19">
        <f>Table2[[#This Row],[Total EV]]-Table2[[#This Row],[Total (V)]]</f>
        <v>3.0560960529983561</v>
      </c>
      <c r="AD53" s="3">
        <f>Table2[[#This Row],[Margin (V)]]-Table2[[#This Row],[EV (A)]]</f>
        <v>3.6062500000000011</v>
      </c>
      <c r="AE53" t="b">
        <f>IF(VLOOKUP(Table2[[#This Row],[Home Team]],division_lookup,2,FALSE)=VLOOKUP(Table2[[#This Row],[Away Team]],division_lookup,2,FALSE),TRUE, FALSE)</f>
        <v>1</v>
      </c>
    </row>
    <row r="54" spans="1:31" x14ac:dyDescent="0.25">
      <c r="A54">
        <v>4</v>
      </c>
      <c r="B54" t="s">
        <v>5</v>
      </c>
      <c r="C54" t="s">
        <v>15</v>
      </c>
      <c r="D54">
        <v>27</v>
      </c>
      <c r="E54">
        <v>28</v>
      </c>
      <c r="F54" s="6">
        <f>VLOOKUP(Table2[[#This Row],[Home Team]],home_lookup,3,FALSE)+VLOOKUP(Table2[[#This Row],[Home Team]],off_pts_lookup,7,FALSE)+VLOOKUP(Table2[[#This Row],[Away Team]],def_diff_lookup,14,FALSE)</f>
        <v>27.866327760493807</v>
      </c>
      <c r="G54" s="6">
        <f>VLOOKUP(Table2[[#This Row],[Away Team]],off_pts_lookup,7,FALSE)+VLOOKUP(Table2[[#This Row],[Home Team]],def_diff_lookup,14,FALSE)</f>
        <v>23.049968434343434</v>
      </c>
      <c r="H54" s="3">
        <f>VLOOKUP(Table2[[#This Row],[Home Team]],pace_lookup,5,FALSE)</f>
        <v>67.400000000000006</v>
      </c>
      <c r="I54" s="3">
        <f>VLOOKUP(Table2[[#This Row],[Away Team]],pace_lookup,5,FALSE)</f>
        <v>67</v>
      </c>
      <c r="J54" s="13">
        <f t="shared" si="3"/>
        <v>55</v>
      </c>
      <c r="K54">
        <v>45</v>
      </c>
      <c r="N54" s="33">
        <f>Table2[[#This Row],[Home EV]]+Table2[[#This Row],[Away EV]]</f>
        <v>50.916296194837244</v>
      </c>
      <c r="O54" s="13">
        <f t="shared" si="5"/>
        <v>1</v>
      </c>
      <c r="P54">
        <v>-3.5</v>
      </c>
      <c r="Q5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4" s="33">
        <v>-16.64</v>
      </c>
      <c r="S54" s="33">
        <f t="shared" si="8"/>
        <v>0.79374999999999973</v>
      </c>
      <c r="T54" s="33"/>
      <c r="U54" s="33"/>
      <c r="V54" s="33">
        <f>-VLOOKUP(Table2[[#This Row],[Home Team]],home_lookup,3,FALSE)-VLOOKUP(B54,lookup,2,FALSE)+VLOOKUP(C54,lookup,2,FALSE)</f>
        <v>-2.3608037705948153</v>
      </c>
      <c r="W54" s="1">
        <f t="shared" si="4"/>
        <v>0.20625000000000027</v>
      </c>
      <c r="X54" s="1">
        <f>Table2[[#This Row],[ERR (A)]]^2</f>
        <v>4.2539062500000113E-2</v>
      </c>
      <c r="Y54" s="1">
        <f t="shared" si="7"/>
        <v>3.3608037705948153</v>
      </c>
      <c r="Z54" s="1">
        <f>Table2[[#This Row],[ERR (B)]]^2</f>
        <v>11.295001984444328</v>
      </c>
      <c r="AA54" s="18">
        <f>Table2[[#This Row],[Pace (H)]]-Table2[[#This Row],[Pace (A)]]</f>
        <v>0.40000000000000568</v>
      </c>
      <c r="AB54" s="19">
        <f>Table2[[#This Row],[Total EV]]-Table2[[#Totals],[Total EV]]</f>
        <v>2.0445863833496176</v>
      </c>
      <c r="AC54" s="19">
        <f>Table2[[#This Row],[Total EV]]-Table2[[#This Row],[Total (V)]]</f>
        <v>5.9162961948372441</v>
      </c>
      <c r="AD54" s="3">
        <f>Table2[[#This Row],[Margin (V)]]-Table2[[#This Row],[EV (A)]]</f>
        <v>-4.2937499999999993</v>
      </c>
      <c r="AE54" t="b">
        <f>IF(VLOOKUP(Table2[[#This Row],[Home Team]],division_lookup,2,FALSE)=VLOOKUP(Table2[[#This Row],[Away Team]],division_lookup,2,FALSE),TRUE, FALSE)</f>
        <v>0</v>
      </c>
    </row>
    <row r="55" spans="1:31" x14ac:dyDescent="0.25">
      <c r="A55">
        <v>4</v>
      </c>
      <c r="B55" t="s">
        <v>9</v>
      </c>
      <c r="C55" t="s">
        <v>12</v>
      </c>
      <c r="D55">
        <v>27</v>
      </c>
      <c r="E55">
        <v>20</v>
      </c>
      <c r="F55" s="6">
        <f>VLOOKUP(Table2[[#This Row],[Home Team]],home_lookup,3,FALSE)+VLOOKUP(Table2[[#This Row],[Home Team]],off_pts_lookup,7,FALSE)+VLOOKUP(Table2[[#This Row],[Away Team]],def_diff_lookup,14,FALSE)</f>
        <v>28.120294441319128</v>
      </c>
      <c r="G55" s="6">
        <f>VLOOKUP(Table2[[#This Row],[Away Team]],off_pts_lookup,7,FALSE)+VLOOKUP(Table2[[#This Row],[Home Team]],def_diff_lookup,14,FALSE)</f>
        <v>23.562089646464639</v>
      </c>
      <c r="H55" s="3">
        <f>VLOOKUP(Table2[[#This Row],[Home Team]],pace_lookup,5,FALSE)</f>
        <v>65.777777777777771</v>
      </c>
      <c r="I55" s="3">
        <f>VLOOKUP(Table2[[#This Row],[Away Team]],pace_lookup,5,FALSE)</f>
        <v>63.909090909090907</v>
      </c>
      <c r="J55" s="13">
        <f t="shared" si="3"/>
        <v>47</v>
      </c>
      <c r="K55">
        <v>40.5</v>
      </c>
      <c r="N55" s="33">
        <f>Table2[[#This Row],[Home EV]]+Table2[[#This Row],[Away EV]]</f>
        <v>51.682384087783767</v>
      </c>
      <c r="O55" s="13">
        <f t="shared" si="5"/>
        <v>-7</v>
      </c>
      <c r="P55">
        <v>-4</v>
      </c>
      <c r="Q5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55" s="33">
        <v>-7.42</v>
      </c>
      <c r="S55" s="33">
        <f t="shared" si="8"/>
        <v>-0.60624999999999973</v>
      </c>
      <c r="T55" s="33"/>
      <c r="U55" s="33"/>
      <c r="V55" s="33">
        <f>-VLOOKUP(Table2[[#This Row],[Home Team]],home_lookup,3,FALSE)-VLOOKUP(B55,lookup,2,FALSE)+VLOOKUP(C55,lookup,2,FALSE)</f>
        <v>-5.8036593403090286</v>
      </c>
      <c r="W55" s="1">
        <f t="shared" si="4"/>
        <v>-6.3937500000000007</v>
      </c>
      <c r="X55" s="1">
        <f>Table2[[#This Row],[ERR (A)]]^2</f>
        <v>40.880039062500011</v>
      </c>
      <c r="Y55" s="1">
        <f t="shared" si="7"/>
        <v>-1.1963406596909714</v>
      </c>
      <c r="Z55" s="1">
        <f>Table2[[#This Row],[ERR (B)]]^2</f>
        <v>1.4312309740298286</v>
      </c>
      <c r="AA55" s="18">
        <f>Table2[[#This Row],[Pace (H)]]-Table2[[#This Row],[Pace (A)]]</f>
        <v>1.868686868686865</v>
      </c>
      <c r="AB55" s="19">
        <f>Table2[[#This Row],[Total EV]]-Table2[[#Totals],[Total EV]]</f>
        <v>2.8106742762961403</v>
      </c>
      <c r="AC55" s="19">
        <f>Table2[[#This Row],[Total EV]]-Table2[[#This Row],[Total (V)]]</f>
        <v>11.182384087783767</v>
      </c>
      <c r="AD55" s="3">
        <f>Table2[[#This Row],[Margin (V)]]-Table2[[#This Row],[EV (A)]]</f>
        <v>-3.3937500000000003</v>
      </c>
      <c r="AE55" t="b">
        <f>IF(VLOOKUP(Table2[[#This Row],[Home Team]],division_lookup,2,FALSE)=VLOOKUP(Table2[[#This Row],[Away Team]],division_lookup,2,FALSE),TRUE, FALSE)</f>
        <v>1</v>
      </c>
    </row>
    <row r="56" spans="1:31" x14ac:dyDescent="0.25">
      <c r="A56">
        <v>4</v>
      </c>
      <c r="B56" t="s">
        <v>8</v>
      </c>
      <c r="C56" t="s">
        <v>21</v>
      </c>
      <c r="D56">
        <v>17</v>
      </c>
      <c r="E56">
        <v>27</v>
      </c>
      <c r="F56" s="6">
        <f>VLOOKUP(Table2[[#This Row],[Home Team]],home_lookup,3,FALSE)+VLOOKUP(Table2[[#This Row],[Home Team]],off_pts_lookup,7,FALSE)+VLOOKUP(Table2[[#This Row],[Away Team]],def_diff_lookup,14,FALSE)</f>
        <v>14.956807586320132</v>
      </c>
      <c r="G56" s="6">
        <f>VLOOKUP(Table2[[#This Row],[Away Team]],off_pts_lookup,7,FALSE)+VLOOKUP(Table2[[#This Row],[Home Team]],def_diff_lookup,14,FALSE)</f>
        <v>23.42774621212121</v>
      </c>
      <c r="H56" s="3">
        <f>VLOOKUP(Table2[[#This Row],[Home Team]],pace_lookup,5,FALSE)</f>
        <v>62.6</v>
      </c>
      <c r="I56" s="3">
        <f>VLOOKUP(Table2[[#This Row],[Away Team]],pace_lookup,5,FALSE)</f>
        <v>61.1</v>
      </c>
      <c r="J56" s="13">
        <f t="shared" si="3"/>
        <v>44</v>
      </c>
      <c r="K56">
        <v>40</v>
      </c>
      <c r="N56" s="33">
        <f>Table2[[#This Row],[Home EV]]+Table2[[#This Row],[Away EV]]</f>
        <v>38.384553798441345</v>
      </c>
      <c r="O56" s="13">
        <f t="shared" si="5"/>
        <v>10</v>
      </c>
      <c r="P56">
        <v>1</v>
      </c>
      <c r="Q5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6" s="33">
        <v>0.93</v>
      </c>
      <c r="S56" s="33">
        <f t="shared" si="8"/>
        <v>7.59375</v>
      </c>
      <c r="T56" s="33"/>
      <c r="U56" s="33"/>
      <c r="V56" s="33">
        <f>-VLOOKUP(Table2[[#This Row],[Home Team]],home_lookup,3,FALSE)-VLOOKUP(B56,lookup,2,FALSE)+VLOOKUP(C56,lookup,2,FALSE)</f>
        <v>6.3709386258010756</v>
      </c>
      <c r="W56" s="1">
        <f t="shared" si="4"/>
        <v>2.40625</v>
      </c>
      <c r="X56" s="1">
        <f>Table2[[#This Row],[ERR (A)]]^2</f>
        <v>5.7900390625</v>
      </c>
      <c r="Y56" s="1">
        <f t="shared" si="7"/>
        <v>3.6290613741989244</v>
      </c>
      <c r="Z56" s="1">
        <f>Table2[[#This Row],[ERR (B)]]^2</f>
        <v>13.170086457702585</v>
      </c>
      <c r="AA56" s="18">
        <f>Table2[[#This Row],[Pace (H)]]-Table2[[#This Row],[Pace (A)]]</f>
        <v>1.5</v>
      </c>
      <c r="AB56" s="19">
        <f>Table2[[#This Row],[Total EV]]-Table2[[#Totals],[Total EV]]</f>
        <v>-10.487156013046281</v>
      </c>
      <c r="AC56" s="19">
        <f>Table2[[#This Row],[Total EV]]-Table2[[#This Row],[Total (V)]]</f>
        <v>-1.6154462015586546</v>
      </c>
      <c r="AD56" s="3">
        <f>Table2[[#This Row],[Margin (V)]]-Table2[[#This Row],[EV (A)]]</f>
        <v>-6.59375</v>
      </c>
      <c r="AE56" t="b">
        <f>IF(VLOOKUP(Table2[[#This Row],[Home Team]],division_lookup,2,FALSE)=VLOOKUP(Table2[[#This Row],[Away Team]],division_lookup,2,FALSE),TRUE, FALSE)</f>
        <v>0</v>
      </c>
    </row>
    <row r="57" spans="1:31" x14ac:dyDescent="0.25">
      <c r="A57">
        <v>4</v>
      </c>
      <c r="B57" t="s">
        <v>20</v>
      </c>
      <c r="C57" t="s">
        <v>2</v>
      </c>
      <c r="D57">
        <v>48</v>
      </c>
      <c r="E57">
        <v>33</v>
      </c>
      <c r="F57" s="6">
        <f>VLOOKUP(Table2[[#This Row],[Home Team]],home_lookup,3,FALSE)+VLOOKUP(Table2[[#This Row],[Home Team]],off_pts_lookup,7,FALSE)+VLOOKUP(Table2[[#This Row],[Away Team]],def_diff_lookup,14,FALSE)</f>
        <v>28.706265846188991</v>
      </c>
      <c r="G57" s="6">
        <f>VLOOKUP(Table2[[#This Row],[Away Team]],off_pts_lookup,7,FALSE)+VLOOKUP(Table2[[#This Row],[Home Team]],def_diff_lookup,14,FALSE)</f>
        <v>29.827746212121209</v>
      </c>
      <c r="H57" s="3">
        <f>VLOOKUP(Table2[[#This Row],[Home Team]],pace_lookup,5,FALSE)</f>
        <v>61.9</v>
      </c>
      <c r="I57" s="3">
        <f>VLOOKUP(Table2[[#This Row],[Away Team]],pace_lookup,5,FALSE)</f>
        <v>66.8</v>
      </c>
      <c r="J57" s="13">
        <f t="shared" si="3"/>
        <v>81</v>
      </c>
      <c r="K57">
        <v>48.5</v>
      </c>
      <c r="N57" s="33">
        <f>Table2[[#This Row],[Home EV]]+Table2[[#This Row],[Away EV]]</f>
        <v>58.534012058310196</v>
      </c>
      <c r="O57" s="13">
        <f t="shared" si="5"/>
        <v>-15</v>
      </c>
      <c r="P57">
        <v>3</v>
      </c>
      <c r="Q5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7" s="33">
        <v>9.7899999999999991</v>
      </c>
      <c r="S57" s="33">
        <f t="shared" si="8"/>
        <v>-8.90625</v>
      </c>
      <c r="T57" s="33"/>
      <c r="U57" s="33"/>
      <c r="V57" s="33">
        <f>-VLOOKUP(Table2[[#This Row],[Home Team]],home_lookup,3,FALSE)-VLOOKUP(B57,lookup,2,FALSE)+VLOOKUP(C57,lookup,2,FALSE)</f>
        <v>-0.97851963406778153</v>
      </c>
      <c r="W57" s="1">
        <f t="shared" si="4"/>
        <v>-6.09375</v>
      </c>
      <c r="X57" s="1">
        <f>Table2[[#This Row],[ERR (A)]]^2</f>
        <v>37.1337890625</v>
      </c>
      <c r="Y57" s="1">
        <f t="shared" si="7"/>
        <v>-14.021480365932218</v>
      </c>
      <c r="Z57" s="1">
        <f>Table2[[#This Row],[ERR (B)]]^2</f>
        <v>196.6019116522227</v>
      </c>
      <c r="AA57" s="18">
        <f>Table2[[#This Row],[Pace (H)]]-Table2[[#This Row],[Pace (A)]]</f>
        <v>-4.8999999999999986</v>
      </c>
      <c r="AB57" s="19">
        <f>Table2[[#This Row],[Total EV]]-Table2[[#Totals],[Total EV]]</f>
        <v>9.6623022468225699</v>
      </c>
      <c r="AC57" s="19">
        <f>Table2[[#This Row],[Total EV]]-Table2[[#This Row],[Total (V)]]</f>
        <v>10.034012058310196</v>
      </c>
      <c r="AD57" s="3">
        <f>Table2[[#This Row],[Margin (V)]]-Table2[[#This Row],[EV (A)]]</f>
        <v>11.90625</v>
      </c>
      <c r="AE57" t="b">
        <f>IF(VLOOKUP(Table2[[#This Row],[Home Team]],division_lookup,2,FALSE)=VLOOKUP(Table2[[#This Row],[Away Team]],division_lookup,2,FALSE),TRUE, FALSE)</f>
        <v>1</v>
      </c>
    </row>
    <row r="58" spans="1:31" x14ac:dyDescent="0.25">
      <c r="A58">
        <v>4</v>
      </c>
      <c r="B58" t="s">
        <v>30</v>
      </c>
      <c r="C58" t="s">
        <v>14</v>
      </c>
      <c r="D58">
        <v>31</v>
      </c>
      <c r="E58">
        <v>20</v>
      </c>
      <c r="F58" s="6">
        <f>VLOOKUP(Table2[[#This Row],[Home Team]],home_lookup,3,FALSE)+VLOOKUP(Table2[[#This Row],[Home Team]],off_pts_lookup,7,FALSE)+VLOOKUP(Table2[[#This Row],[Away Team]],def_diff_lookup,14,FALSE)</f>
        <v>32.791943537569452</v>
      </c>
      <c r="G58" s="6">
        <f>VLOOKUP(Table2[[#This Row],[Away Team]],off_pts_lookup,7,FALSE)+VLOOKUP(Table2[[#This Row],[Home Team]],def_diff_lookup,14,FALSE)</f>
        <v>17.155018939393937</v>
      </c>
      <c r="H58" s="3">
        <f>VLOOKUP(Table2[[#This Row],[Home Team]],pace_lookup,5,FALSE)</f>
        <v>65.5</v>
      </c>
      <c r="I58" s="3">
        <f>VLOOKUP(Table2[[#This Row],[Away Team]],pace_lookup,5,FALSE)</f>
        <v>60.090909090909093</v>
      </c>
      <c r="J58" s="13">
        <f t="shared" si="3"/>
        <v>51</v>
      </c>
      <c r="K58">
        <v>48</v>
      </c>
      <c r="N58" s="33">
        <f>Table2[[#This Row],[Home EV]]+Table2[[#This Row],[Away EV]]</f>
        <v>49.946962476963392</v>
      </c>
      <c r="O58" s="13">
        <f t="shared" si="5"/>
        <v>-11</v>
      </c>
      <c r="P58">
        <v>-7.5</v>
      </c>
      <c r="Q5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8" s="33">
        <v>15.06</v>
      </c>
      <c r="S58" s="33">
        <f t="shared" si="8"/>
        <v>-14.30625</v>
      </c>
      <c r="T58" s="33"/>
      <c r="U58" s="33"/>
      <c r="V58" s="33">
        <f>-VLOOKUP(Table2[[#This Row],[Home Team]],home_lookup,3,FALSE)-VLOOKUP(B58,lookup,2,FALSE)+VLOOKUP(C58,lookup,2,FALSE)</f>
        <v>-12.118742779993697</v>
      </c>
      <c r="W58" s="1">
        <f t="shared" si="4"/>
        <v>3.3062500000000004</v>
      </c>
      <c r="X58" s="1">
        <f>Table2[[#This Row],[ERR (A)]]^2</f>
        <v>10.931289062500003</v>
      </c>
      <c r="Y58" s="1">
        <f t="shared" si="7"/>
        <v>1.1187427799936973</v>
      </c>
      <c r="Z58" s="1">
        <f>Table2[[#This Row],[ERR (B)]]^2</f>
        <v>1.2515854077880262</v>
      </c>
      <c r="AA58" s="18">
        <f>Table2[[#This Row],[Pace (H)]]-Table2[[#This Row],[Pace (A)]]</f>
        <v>5.4090909090909065</v>
      </c>
      <c r="AB58" s="19">
        <f>Table2[[#This Row],[Total EV]]-Table2[[#Totals],[Total EV]]</f>
        <v>1.0752526654757659</v>
      </c>
      <c r="AC58" s="19">
        <f>Table2[[#This Row],[Total EV]]-Table2[[#This Row],[Total (V)]]</f>
        <v>1.9469624769633924</v>
      </c>
      <c r="AD58" s="3">
        <f>Table2[[#This Row],[Margin (V)]]-Table2[[#This Row],[EV (A)]]</f>
        <v>6.8062500000000004</v>
      </c>
      <c r="AE58" t="b">
        <f>IF(VLOOKUP(Table2[[#This Row],[Home Team]],division_lookup,2,FALSE)=VLOOKUP(Table2[[#This Row],[Away Team]],division_lookup,2,FALSE),TRUE, FALSE)</f>
        <v>0</v>
      </c>
    </row>
    <row r="59" spans="1:31" x14ac:dyDescent="0.25">
      <c r="A59">
        <v>4</v>
      </c>
      <c r="B59" t="s">
        <v>28</v>
      </c>
      <c r="C59" t="s">
        <v>32</v>
      </c>
      <c r="D59">
        <v>13</v>
      </c>
      <c r="E59">
        <v>17</v>
      </c>
      <c r="F59" s="6">
        <f>VLOOKUP(Table2[[#This Row],[Home Team]],home_lookup,3,FALSE)+VLOOKUP(Table2[[#This Row],[Home Team]],off_pts_lookup,7,FALSE)+VLOOKUP(Table2[[#This Row],[Away Team]],def_diff_lookup,14,FALSE)</f>
        <v>23.88245119052177</v>
      </c>
      <c r="G59" s="6">
        <f>VLOOKUP(Table2[[#This Row],[Away Team]],off_pts_lookup,7,FALSE)+VLOOKUP(Table2[[#This Row],[Home Team]],def_diff_lookup,14,FALSE)</f>
        <v>11.02774621212121</v>
      </c>
      <c r="H59" s="3">
        <f>VLOOKUP(Table2[[#This Row],[Home Team]],pace_lookup,5,FALSE)</f>
        <v>71</v>
      </c>
      <c r="I59" s="3">
        <f>VLOOKUP(Table2[[#This Row],[Away Team]],pace_lookup,5,FALSE)</f>
        <v>62.2</v>
      </c>
      <c r="J59" s="13">
        <f t="shared" si="3"/>
        <v>30</v>
      </c>
      <c r="K59">
        <v>43.5</v>
      </c>
      <c r="N59" s="33">
        <f>Table2[[#This Row],[Home EV]]+Table2[[#This Row],[Away EV]]</f>
        <v>34.910197402642979</v>
      </c>
      <c r="O59" s="13">
        <f t="shared" si="5"/>
        <v>4</v>
      </c>
      <c r="P59">
        <v>-9.5</v>
      </c>
      <c r="Q5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59" s="33">
        <v>-17.36</v>
      </c>
      <c r="S59" s="33">
        <f t="shared" si="8"/>
        <v>-9.40625</v>
      </c>
      <c r="T59" s="33"/>
      <c r="U59" s="33"/>
      <c r="V59" s="33">
        <f>-VLOOKUP(Table2[[#This Row],[Home Team]],home_lookup,3,FALSE)-VLOOKUP(B59,lookup,2,FALSE)+VLOOKUP(C59,lookup,2,FALSE)</f>
        <v>-11.95470497840056</v>
      </c>
      <c r="W59" s="1">
        <f t="shared" si="4"/>
        <v>13.40625</v>
      </c>
      <c r="X59" s="1">
        <f>Table2[[#This Row],[ERR (A)]]^2</f>
        <v>179.7275390625</v>
      </c>
      <c r="Y59" s="1">
        <f t="shared" si="7"/>
        <v>15.95470497840056</v>
      </c>
      <c r="Z59" s="1">
        <f>Table2[[#This Row],[ERR (B)]]^2</f>
        <v>254.55261094779962</v>
      </c>
      <c r="AA59" s="18">
        <f>Table2[[#This Row],[Pace (H)]]-Table2[[#This Row],[Pace (A)]]</f>
        <v>8.7999999999999972</v>
      </c>
      <c r="AB59" s="19">
        <f>Table2[[#This Row],[Total EV]]-Table2[[#Totals],[Total EV]]</f>
        <v>-13.961512408844648</v>
      </c>
      <c r="AC59" s="19">
        <f>Table2[[#This Row],[Total EV]]-Table2[[#This Row],[Total (V)]]</f>
        <v>-8.5898025973570213</v>
      </c>
      <c r="AD59" s="3">
        <f>Table2[[#This Row],[Margin (V)]]-Table2[[#This Row],[EV (A)]]</f>
        <v>-9.375E-2</v>
      </c>
      <c r="AE59" t="b">
        <f>IF(VLOOKUP(Table2[[#This Row],[Home Team]],division_lookup,2,FALSE)=VLOOKUP(Table2[[#This Row],[Away Team]],division_lookup,2,FALSE),TRUE, FALSE)</f>
        <v>1</v>
      </c>
    </row>
    <row r="60" spans="1:31" x14ac:dyDescent="0.25">
      <c r="A60">
        <v>4</v>
      </c>
      <c r="B60" t="s">
        <v>19</v>
      </c>
      <c r="C60" t="s">
        <v>1</v>
      </c>
      <c r="D60">
        <v>7</v>
      </c>
      <c r="E60">
        <v>27</v>
      </c>
      <c r="F60" s="6">
        <f>VLOOKUP(Table2[[#This Row],[Home Team]],home_lookup,3,FALSE)+VLOOKUP(Table2[[#This Row],[Home Team]],off_pts_lookup,7,FALSE)+VLOOKUP(Table2[[#This Row],[Away Team]],def_diff_lookup,14,FALSE)</f>
        <v>19.002624307599955</v>
      </c>
      <c r="G60" s="6">
        <f>VLOOKUP(Table2[[#This Row],[Away Team]],off_pts_lookup,7,FALSE)+VLOOKUP(Table2[[#This Row],[Home Team]],def_diff_lookup,14,FALSE)</f>
        <v>26.92774621212121</v>
      </c>
      <c r="H60" s="3">
        <f>VLOOKUP(Table2[[#This Row],[Home Team]],pace_lookup,5,FALSE)</f>
        <v>69.900000000000006</v>
      </c>
      <c r="I60" s="3">
        <f>VLOOKUP(Table2[[#This Row],[Away Team]],pace_lookup,5,FALSE)</f>
        <v>64</v>
      </c>
      <c r="J60" s="13">
        <f t="shared" si="3"/>
        <v>34</v>
      </c>
      <c r="K60">
        <v>43</v>
      </c>
      <c r="N60" s="33">
        <f>Table2[[#This Row],[Home EV]]+Table2[[#This Row],[Away EV]]</f>
        <v>45.930370519721166</v>
      </c>
      <c r="O60" s="13">
        <f t="shared" si="5"/>
        <v>20</v>
      </c>
      <c r="P60">
        <v>3.5</v>
      </c>
      <c r="Q6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60" s="33">
        <v>16.559999999999999</v>
      </c>
      <c r="S60" s="33">
        <f t="shared" si="8"/>
        <v>5.59375</v>
      </c>
      <c r="T60" s="33"/>
      <c r="U60" s="33"/>
      <c r="V60" s="33">
        <f>-VLOOKUP(Table2[[#This Row],[Home Team]],home_lookup,3,FALSE)-VLOOKUP(B60,lookup,2,FALSE)+VLOOKUP(C60,lookup,2,FALSE)</f>
        <v>9.0251219045212565</v>
      </c>
      <c r="W60" s="1">
        <f t="shared" si="4"/>
        <v>14.40625</v>
      </c>
      <c r="X60" s="1">
        <f>Table2[[#This Row],[ERR (A)]]^2</f>
        <v>207.5400390625</v>
      </c>
      <c r="Y60" s="1">
        <f t="shared" si="7"/>
        <v>10.974878095478743</v>
      </c>
      <c r="Z60" s="1">
        <f>Table2[[#This Row],[ERR (B)]]^2</f>
        <v>120.44794921061913</v>
      </c>
      <c r="AA60" s="18">
        <f>Table2[[#This Row],[Pace (H)]]-Table2[[#This Row],[Pace (A)]]</f>
        <v>5.9000000000000057</v>
      </c>
      <c r="AB60" s="19">
        <f>Table2[[#This Row],[Total EV]]-Table2[[#Totals],[Total EV]]</f>
        <v>-2.9413392917664609</v>
      </c>
      <c r="AC60" s="19">
        <f>Table2[[#This Row],[Total EV]]-Table2[[#This Row],[Total (V)]]</f>
        <v>2.9303705197211656</v>
      </c>
      <c r="AD60" s="3">
        <f>Table2[[#This Row],[Margin (V)]]-Table2[[#This Row],[EV (A)]]</f>
        <v>-2.09375</v>
      </c>
      <c r="AE60" t="b">
        <f>IF(VLOOKUP(Table2[[#This Row],[Home Team]],division_lookup,2,FALSE)=VLOOKUP(Table2[[#This Row],[Away Team]],division_lookup,2,FALSE),TRUE, FALSE)</f>
        <v>0</v>
      </c>
    </row>
    <row r="61" spans="1:31" x14ac:dyDescent="0.25">
      <c r="A61">
        <v>4</v>
      </c>
      <c r="B61" t="s">
        <v>18</v>
      </c>
      <c r="C61" t="s">
        <v>16</v>
      </c>
      <c r="D61">
        <v>34</v>
      </c>
      <c r="E61">
        <v>35</v>
      </c>
      <c r="F61" s="6">
        <f>VLOOKUP(Table2[[#This Row],[Home Team]],home_lookup,3,FALSE)+VLOOKUP(Table2[[#This Row],[Home Team]],off_pts_lookup,7,FALSE)+VLOOKUP(Table2[[#This Row],[Away Team]],def_diff_lookup,14,FALSE)</f>
        <v>38.20964447209402</v>
      </c>
      <c r="G61" s="6">
        <f>VLOOKUP(Table2[[#This Row],[Away Team]],off_pts_lookup,7,FALSE)+VLOOKUP(Table2[[#This Row],[Home Team]],def_diff_lookup,14,FALSE)</f>
        <v>33.427746212121207</v>
      </c>
      <c r="H61" s="3">
        <f>VLOOKUP(Table2[[#This Row],[Home Team]],pace_lookup,5,FALSE)</f>
        <v>66.400000000000006</v>
      </c>
      <c r="I61" s="3">
        <f>VLOOKUP(Table2[[#This Row],[Away Team]],pace_lookup,5,FALSE)</f>
        <v>69.400000000000006</v>
      </c>
      <c r="J61" s="13">
        <f t="shared" si="3"/>
        <v>69</v>
      </c>
      <c r="K61">
        <v>54</v>
      </c>
      <c r="N61" s="33">
        <f>Table2[[#This Row],[Home EV]]+Table2[[#This Row],[Away EV]]</f>
        <v>71.637390684215234</v>
      </c>
      <c r="O61" s="13">
        <f t="shared" si="5"/>
        <v>1</v>
      </c>
      <c r="P61">
        <v>-4</v>
      </c>
      <c r="Q6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61" s="33">
        <v>-26.84</v>
      </c>
      <c r="S61" s="33">
        <f t="shared" si="8"/>
        <v>-3.90625</v>
      </c>
      <c r="T61" s="33"/>
      <c r="U61" s="33"/>
      <c r="V61" s="33">
        <f>-VLOOKUP(Table2[[#This Row],[Home Team]],home_lookup,3,FALSE)-VLOOKUP(B61,lookup,2,FALSE)+VLOOKUP(C61,lookup,2,FALSE)</f>
        <v>-4.2818982599728059</v>
      </c>
      <c r="W61" s="1">
        <f t="shared" si="4"/>
        <v>4.90625</v>
      </c>
      <c r="X61" s="1">
        <f>Table2[[#This Row],[ERR (A)]]^2</f>
        <v>24.0712890625</v>
      </c>
      <c r="Y61" s="1">
        <f t="shared" si="7"/>
        <v>5.2818982599728059</v>
      </c>
      <c r="Z61" s="1">
        <f>Table2[[#This Row],[ERR (B)]]^2</f>
        <v>27.898449228703754</v>
      </c>
      <c r="AA61" s="18">
        <f>Table2[[#This Row],[Pace (H)]]-Table2[[#This Row],[Pace (A)]]</f>
        <v>-3</v>
      </c>
      <c r="AB61" s="19">
        <f>Table2[[#This Row],[Total EV]]-Table2[[#Totals],[Total EV]]</f>
        <v>22.765680872727607</v>
      </c>
      <c r="AC61" s="19">
        <f>Table2[[#This Row],[Total EV]]-Table2[[#This Row],[Total (V)]]</f>
        <v>17.637390684215234</v>
      </c>
      <c r="AD61" s="3">
        <f>Table2[[#This Row],[Margin (V)]]-Table2[[#This Row],[EV (A)]]</f>
        <v>-9.375E-2</v>
      </c>
      <c r="AE61" t="b">
        <f>IF(VLOOKUP(Table2[[#This Row],[Home Team]],division_lookup,2,FALSE)=VLOOKUP(Table2[[#This Row],[Away Team]],division_lookup,2,FALSE),TRUE, FALSE)</f>
        <v>0</v>
      </c>
    </row>
    <row r="62" spans="1:31" x14ac:dyDescent="0.25">
      <c r="A62">
        <v>4</v>
      </c>
      <c r="B62" t="s">
        <v>31</v>
      </c>
      <c r="C62" t="s">
        <v>26</v>
      </c>
      <c r="D62">
        <v>17</v>
      </c>
      <c r="E62">
        <v>24</v>
      </c>
      <c r="F62" s="6">
        <f>VLOOKUP(Table2[[#This Row],[Home Team]],home_lookup,3,FALSE)+VLOOKUP(Table2[[#This Row],[Home Team]],off_pts_lookup,7,FALSE)+VLOOKUP(Table2[[#This Row],[Away Team]],def_diff_lookup,14,FALSE)</f>
        <v>25.99038224439332</v>
      </c>
      <c r="G62" s="6">
        <f>VLOOKUP(Table2[[#This Row],[Away Team]],off_pts_lookup,7,FALSE)+VLOOKUP(Table2[[#This Row],[Home Team]],def_diff_lookup,14,FALSE)</f>
        <v>36.927746212121207</v>
      </c>
      <c r="H62" s="3">
        <f>VLOOKUP(Table2[[#This Row],[Home Team]],pace_lookup,5,FALSE)</f>
        <v>63</v>
      </c>
      <c r="I62" s="3">
        <f>VLOOKUP(Table2[[#This Row],[Away Team]],pace_lookup,5,FALSE)</f>
        <v>66.5</v>
      </c>
      <c r="J62" s="13">
        <f t="shared" si="3"/>
        <v>41</v>
      </c>
      <c r="K62">
        <v>44</v>
      </c>
      <c r="N62" s="33">
        <f>Table2[[#This Row],[Home EV]]+Table2[[#This Row],[Away EV]]</f>
        <v>62.918128456514523</v>
      </c>
      <c r="O62" s="13">
        <f t="shared" si="5"/>
        <v>7</v>
      </c>
      <c r="P62">
        <v>1.5</v>
      </c>
      <c r="Q6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62" s="33">
        <v>-12.98</v>
      </c>
      <c r="S62" s="33">
        <f t="shared" si="8"/>
        <v>14.293750000000001</v>
      </c>
      <c r="T62" s="33"/>
      <c r="U62" s="33"/>
      <c r="V62" s="33">
        <f>-VLOOKUP(Table2[[#This Row],[Home Team]],home_lookup,3,FALSE)-VLOOKUP(B62,lookup,2,FALSE)+VLOOKUP(C62,lookup,2,FALSE)</f>
        <v>7.4373639677278938</v>
      </c>
      <c r="W62" s="1">
        <f t="shared" si="4"/>
        <v>-7.2937500000000011</v>
      </c>
      <c r="X62" s="1">
        <f>Table2[[#This Row],[ERR (A)]]^2</f>
        <v>53.198789062500019</v>
      </c>
      <c r="Y62" s="1">
        <f t="shared" si="7"/>
        <v>-0.43736396772789377</v>
      </c>
      <c r="Z62" s="1">
        <f>Table2[[#This Row],[ERR (B)]]^2</f>
        <v>0.19128724026668609</v>
      </c>
      <c r="AA62" s="18">
        <f>Table2[[#This Row],[Pace (H)]]-Table2[[#This Row],[Pace (A)]]</f>
        <v>-3.5</v>
      </c>
      <c r="AB62" s="19">
        <f>Table2[[#This Row],[Total EV]]-Table2[[#Totals],[Total EV]]</f>
        <v>14.046418645026897</v>
      </c>
      <c r="AC62" s="19">
        <f>Table2[[#This Row],[Total EV]]-Table2[[#This Row],[Total (V)]]</f>
        <v>18.918128456514523</v>
      </c>
      <c r="AD62" s="3">
        <f>Table2[[#This Row],[Margin (V)]]-Table2[[#This Row],[EV (A)]]</f>
        <v>-12.793750000000001</v>
      </c>
      <c r="AE62" t="b">
        <f>IF(VLOOKUP(Table2[[#This Row],[Home Team]],division_lookup,2,FALSE)=VLOOKUP(Table2[[#This Row],[Away Team]],division_lookup,2,FALSE),TRUE, FALSE)</f>
        <v>0</v>
      </c>
    </row>
    <row r="63" spans="1:31" x14ac:dyDescent="0.25">
      <c r="A63">
        <v>4</v>
      </c>
      <c r="B63" t="s">
        <v>29</v>
      </c>
      <c r="C63" t="s">
        <v>17</v>
      </c>
      <c r="D63">
        <v>43</v>
      </c>
      <c r="E63">
        <v>14</v>
      </c>
      <c r="F63" s="6">
        <f>VLOOKUP(Table2[[#This Row],[Home Team]],home_lookup,3,FALSE)+VLOOKUP(Table2[[#This Row],[Home Team]],off_pts_lookup,7,FALSE)+VLOOKUP(Table2[[#This Row],[Away Team]],def_diff_lookup,14,FALSE)</f>
        <v>27.109891187319466</v>
      </c>
      <c r="G63" s="6">
        <f>VLOOKUP(Table2[[#This Row],[Away Team]],off_pts_lookup,7,FALSE)+VLOOKUP(Table2[[#This Row],[Home Team]],def_diff_lookup,14,FALSE)</f>
        <v>20.827746212121209</v>
      </c>
      <c r="H63" s="3">
        <f>VLOOKUP(Table2[[#This Row],[Home Team]],pace_lookup,5,FALSE)</f>
        <v>64.400000000000006</v>
      </c>
      <c r="I63" s="3">
        <f>VLOOKUP(Table2[[#This Row],[Away Team]],pace_lookup,5,FALSE)</f>
        <v>62.1</v>
      </c>
      <c r="J63" s="13">
        <f t="shared" si="3"/>
        <v>57</v>
      </c>
      <c r="K63">
        <v>48.5</v>
      </c>
      <c r="N63" s="33">
        <f>Table2[[#This Row],[Home EV]]+Table2[[#This Row],[Away EV]]</f>
        <v>47.937637399440675</v>
      </c>
      <c r="O63" s="13">
        <f t="shared" si="5"/>
        <v>-29</v>
      </c>
      <c r="P63">
        <v>-3.5</v>
      </c>
      <c r="Q6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63" s="33">
        <v>3</v>
      </c>
      <c r="S63" s="33">
        <f t="shared" si="8"/>
        <v>-2.7062500000000003</v>
      </c>
      <c r="T63" s="33"/>
      <c r="U63" s="33"/>
      <c r="V63" s="33">
        <f>-VLOOKUP(Table2[[#This Row],[Home Team]],home_lookup,3,FALSE)-VLOOKUP(B63,lookup,2,FALSE)+VLOOKUP(C63,lookup,2,FALSE)</f>
        <v>-7.282144975198257</v>
      </c>
      <c r="W63" s="1">
        <f t="shared" si="4"/>
        <v>-26.293749999999999</v>
      </c>
      <c r="X63" s="1">
        <f>Table2[[#This Row],[ERR (A)]]^2</f>
        <v>691.36128906249996</v>
      </c>
      <c r="Y63" s="1">
        <f t="shared" si="7"/>
        <v>-21.717855024801743</v>
      </c>
      <c r="Z63" s="1">
        <f>Table2[[#This Row],[ERR (B)]]^2</f>
        <v>471.66522687830633</v>
      </c>
      <c r="AA63" s="18">
        <f>Table2[[#This Row],[Pace (H)]]-Table2[[#This Row],[Pace (A)]]</f>
        <v>2.3000000000000043</v>
      </c>
      <c r="AB63" s="19">
        <f>Table2[[#This Row],[Total EV]]-Table2[[#Totals],[Total EV]]</f>
        <v>-0.93407241204695168</v>
      </c>
      <c r="AC63" s="19">
        <f>Table2[[#This Row],[Total EV]]-Table2[[#This Row],[Total (V)]]</f>
        <v>-0.56236260055932519</v>
      </c>
      <c r="AD63" s="3">
        <f>Table2[[#This Row],[Margin (V)]]-Table2[[#This Row],[EV (A)]]</f>
        <v>-0.79374999999999973</v>
      </c>
      <c r="AE63" t="b">
        <f>IF(VLOOKUP(Table2[[#This Row],[Home Team]],division_lookup,2,FALSE)=VLOOKUP(Table2[[#This Row],[Away Team]],division_lookup,2,FALSE),TRUE, FALSE)</f>
        <v>0</v>
      </c>
    </row>
    <row r="64" spans="1:31" ht="15.75" thickBot="1" x14ac:dyDescent="0.3">
      <c r="A64" s="9">
        <v>4</v>
      </c>
      <c r="B64" s="9" t="s">
        <v>11</v>
      </c>
      <c r="C64" s="9" t="s">
        <v>25</v>
      </c>
      <c r="D64" s="9">
        <v>24</v>
      </c>
      <c r="E64" s="9">
        <v>10</v>
      </c>
      <c r="F64" s="30">
        <f>VLOOKUP(Table2[[#This Row],[Home Team]],home_lookup,3,FALSE)+VLOOKUP(Table2[[#This Row],[Home Team]],off_pts_lookup,7,FALSE)+VLOOKUP(Table2[[#This Row],[Away Team]],def_diff_lookup,14,FALSE)</f>
        <v>21.330106107800695</v>
      </c>
      <c r="G64" s="30">
        <f>VLOOKUP(Table2[[#This Row],[Away Team]],off_pts_lookup,7,FALSE)+VLOOKUP(Table2[[#This Row],[Home Team]],def_diff_lookup,14,FALSE)</f>
        <v>15.12774621212121</v>
      </c>
      <c r="H64" s="15">
        <f>VLOOKUP(Table2[[#This Row],[Home Team]],pace_lookup,5,FALSE)</f>
        <v>62.9</v>
      </c>
      <c r="I64" s="15">
        <f>VLOOKUP(Table2[[#This Row],[Away Team]],pace_lookup,5,FALSE)</f>
        <v>62.6</v>
      </c>
      <c r="J64" s="14">
        <f t="shared" si="3"/>
        <v>34</v>
      </c>
      <c r="K64" s="9">
        <v>42.5</v>
      </c>
      <c r="L64" s="9"/>
      <c r="M64" s="9"/>
      <c r="N64" s="34">
        <f>Table2[[#This Row],[Home EV]]+Table2[[#This Row],[Away EV]]</f>
        <v>36.457852319921905</v>
      </c>
      <c r="O64" s="14">
        <f t="shared" si="5"/>
        <v>-14</v>
      </c>
      <c r="P64" s="9">
        <v>-4</v>
      </c>
      <c r="Q64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64" s="34">
        <v>-32.130000000000003</v>
      </c>
      <c r="S64" s="34">
        <f t="shared" si="8"/>
        <v>-4.1062500000000002</v>
      </c>
      <c r="T64" s="34"/>
      <c r="U64" s="34"/>
      <c r="V64" s="34">
        <f>-VLOOKUP(Table2[[#This Row],[Home Team]],home_lookup,3,FALSE)-VLOOKUP(B64,lookup,2,FALSE)+VLOOKUP(C64,lookup,2,FALSE)</f>
        <v>-4.9023598956794858</v>
      </c>
      <c r="W64" s="16">
        <f t="shared" si="4"/>
        <v>-9.8937500000000007</v>
      </c>
      <c r="X64" s="16">
        <f>Table2[[#This Row],[ERR (A)]]^2</f>
        <v>97.886289062500012</v>
      </c>
      <c r="Y64" s="16">
        <f t="shared" si="7"/>
        <v>-9.0976401043205151</v>
      </c>
      <c r="Z64" s="16">
        <f>Table2[[#This Row],[ERR (B)]]^2</f>
        <v>82.767055467740988</v>
      </c>
      <c r="AA64" s="24">
        <f>Table2[[#This Row],[Pace (H)]]-Table2[[#This Row],[Pace (A)]]</f>
        <v>0.29999999999999716</v>
      </c>
      <c r="AB64" s="15">
        <f>Table2[[#This Row],[Total EV]]-Table2[[#Totals],[Total EV]]</f>
        <v>-12.413857491565722</v>
      </c>
      <c r="AC64" s="15">
        <f>Table2[[#This Row],[Total EV]]-Table2[[#This Row],[Total (V)]]</f>
        <v>-6.0421476800780951</v>
      </c>
      <c r="AD64" s="15">
        <f>Table2[[#This Row],[Margin (V)]]-Table2[[#This Row],[EV (A)]]</f>
        <v>0.10625000000000018</v>
      </c>
      <c r="AE64" s="9" t="b">
        <f>IF(VLOOKUP(Table2[[#This Row],[Home Team]],division_lookup,2,FALSE)=VLOOKUP(Table2[[#This Row],[Away Team]],division_lookup,2,FALSE),TRUE, FALSE)</f>
        <v>0</v>
      </c>
    </row>
    <row r="65" spans="1:31" x14ac:dyDescent="0.25">
      <c r="A65">
        <v>5</v>
      </c>
      <c r="B65" t="s">
        <v>31</v>
      </c>
      <c r="C65" t="s">
        <v>28</v>
      </c>
      <c r="D65">
        <v>33</v>
      </c>
      <c r="E65">
        <v>21</v>
      </c>
      <c r="F65" s="6">
        <f>VLOOKUP(Table2[[#This Row],[Home Team]],home_lookup,3,FALSE)+VLOOKUP(Table2[[#This Row],[Home Team]],off_pts_lookup,7,FALSE)+VLOOKUP(Table2[[#This Row],[Away Team]],def_diff_lookup,14,FALSE)</f>
        <v>26.290382244393321</v>
      </c>
      <c r="G65" s="6">
        <f>VLOOKUP(Table2[[#This Row],[Away Team]],off_pts_lookup,7,FALSE)+VLOOKUP(Table2[[#This Row],[Home Team]],def_diff_lookup,14,FALSE)</f>
        <v>31.027746212121208</v>
      </c>
      <c r="H65" s="3">
        <f>VLOOKUP(Table2[[#This Row],[Home Team]],pace_lookup,5,FALSE)</f>
        <v>63</v>
      </c>
      <c r="I65" s="3">
        <f>VLOOKUP(Table2[[#This Row],[Away Team]],pace_lookup,5,FALSE)</f>
        <v>71</v>
      </c>
      <c r="J65" s="13">
        <f t="shared" si="3"/>
        <v>54</v>
      </c>
      <c r="K65">
        <v>42.5</v>
      </c>
      <c r="N65" s="33">
        <f>Table2[[#This Row],[Home EV]]+Table2[[#This Row],[Away EV]]</f>
        <v>57.318128456514529</v>
      </c>
      <c r="O65" s="13">
        <f t="shared" si="5"/>
        <v>-12</v>
      </c>
      <c r="P65">
        <v>3.5</v>
      </c>
      <c r="Q6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65" s="33">
        <v>-1.1100000000000001</v>
      </c>
      <c r="S65" s="33">
        <f t="shared" si="8"/>
        <v>8.59375</v>
      </c>
      <c r="T65" s="33"/>
      <c r="U65" s="33"/>
      <c r="V65" s="33">
        <f>-VLOOKUP(Table2[[#This Row],[Home Team]],home_lookup,3,FALSE)-VLOOKUP(B65,lookup,2,FALSE)+VLOOKUP(C65,lookup,2,FALSE)</f>
        <v>1.7373639677278936</v>
      </c>
      <c r="W65" s="1">
        <f t="shared" si="4"/>
        <v>-20.59375</v>
      </c>
      <c r="X65" s="1">
        <f>Table2[[#This Row],[ERR (A)]]^2</f>
        <v>424.1025390625</v>
      </c>
      <c r="Y65" s="1">
        <f t="shared" si="7"/>
        <v>-13.737363967727894</v>
      </c>
      <c r="Z65" s="1">
        <f>Table2[[#This Row],[ERR (B)]]^2</f>
        <v>188.71516878182868</v>
      </c>
      <c r="AA65" s="18">
        <f>Table2[[#This Row],[Pace (H)]]-Table2[[#This Row],[Pace (A)]]</f>
        <v>-8</v>
      </c>
      <c r="AB65" s="19">
        <f>Table2[[#This Row],[Total EV]]-Table2[[#Totals],[Total EV]]</f>
        <v>8.4464186450269025</v>
      </c>
      <c r="AC65" s="19">
        <f>Table2[[#This Row],[Total EV]]-Table2[[#This Row],[Total (V)]]</f>
        <v>14.818128456514529</v>
      </c>
      <c r="AD65" s="3">
        <f>Table2[[#This Row],[Margin (V)]]-Table2[[#This Row],[EV (A)]]</f>
        <v>-5.09375</v>
      </c>
      <c r="AE65" t="b">
        <f>IF(VLOOKUP(Table2[[#This Row],[Home Team]],division_lookup,2,FALSE)=VLOOKUP(Table2[[#This Row],[Away Team]],division_lookup,2,FALSE),TRUE, FALSE)</f>
        <v>1</v>
      </c>
    </row>
    <row r="66" spans="1:31" x14ac:dyDescent="0.25">
      <c r="A66">
        <v>5</v>
      </c>
      <c r="B66" t="s">
        <v>24</v>
      </c>
      <c r="C66" t="s">
        <v>10</v>
      </c>
      <c r="D66">
        <v>29</v>
      </c>
      <c r="E66">
        <v>23</v>
      </c>
      <c r="F66" s="6">
        <f>VLOOKUP(Table2[[#This Row],[Home Team]],home_lookup,3,FALSE)+VLOOKUP(Table2[[#This Row],[Home Team]],off_pts_lookup,7,FALSE)+VLOOKUP(Table2[[#This Row],[Away Team]],def_diff_lookup,14,FALSE)</f>
        <v>26.839095567205096</v>
      </c>
      <c r="G66" s="6">
        <f>VLOOKUP(Table2[[#This Row],[Away Team]],off_pts_lookup,7,FALSE)+VLOOKUP(Table2[[#This Row],[Home Team]],def_diff_lookup,14,FALSE)</f>
        <v>20.12774621212121</v>
      </c>
      <c r="H66" s="3">
        <f>VLOOKUP(Table2[[#This Row],[Home Team]],pace_lookup,5,FALSE)</f>
        <v>65.5</v>
      </c>
      <c r="I66" s="3">
        <f>VLOOKUP(Table2[[#This Row],[Away Team]],pace_lookup,5,FALSE)</f>
        <v>59.3</v>
      </c>
      <c r="J66" s="13">
        <f t="shared" si="3"/>
        <v>52</v>
      </c>
      <c r="K66">
        <v>47.5</v>
      </c>
      <c r="N66" s="33">
        <f>Table2[[#This Row],[Home EV]]+Table2[[#This Row],[Away EV]]</f>
        <v>46.966841779326302</v>
      </c>
      <c r="O66" s="13">
        <f t="shared" ref="O66:O97" si="9">E66-D66</f>
        <v>-6</v>
      </c>
      <c r="P66">
        <v>-4</v>
      </c>
      <c r="Q6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66" s="33">
        <v>-1.84</v>
      </c>
      <c r="S66" s="33">
        <f t="shared" si="8"/>
        <v>-8.1062499999999993</v>
      </c>
      <c r="T66" s="33"/>
      <c r="U66" s="33"/>
      <c r="V66" s="33">
        <f>-VLOOKUP(Table2[[#This Row],[Home Team]],home_lookup,3,FALSE)-VLOOKUP(B66,lookup,2,FALSE)+VLOOKUP(C66,lookup,2,FALSE)</f>
        <v>-4.9113493550838907</v>
      </c>
      <c r="W66" s="1">
        <f t="shared" si="4"/>
        <v>2.1062499999999993</v>
      </c>
      <c r="X66" s="1">
        <f>Table2[[#This Row],[ERR (A)]]^2</f>
        <v>4.4362890624999967</v>
      </c>
      <c r="Y66" s="1">
        <f t="shared" ref="Y66:Y97" si="10">$O66-V66</f>
        <v>-1.0886506449161093</v>
      </c>
      <c r="Z66" s="1">
        <f>Table2[[#This Row],[ERR (B)]]^2</f>
        <v>1.1851602266762606</v>
      </c>
      <c r="AA66" s="18">
        <f>Table2[[#This Row],[Pace (H)]]-Table2[[#This Row],[Pace (A)]]</f>
        <v>6.2000000000000028</v>
      </c>
      <c r="AB66" s="19">
        <f>Table2[[#This Row],[Total EV]]-Table2[[#Totals],[Total EV]]</f>
        <v>-1.9048680321613247</v>
      </c>
      <c r="AC66" s="19">
        <f>Table2[[#This Row],[Total EV]]-Table2[[#This Row],[Total (V)]]</f>
        <v>-0.53315822067369822</v>
      </c>
      <c r="AD66" s="3">
        <f>Table2[[#This Row],[Margin (V)]]-Table2[[#This Row],[EV (A)]]</f>
        <v>4.1062499999999993</v>
      </c>
      <c r="AE66" t="b">
        <f>IF(VLOOKUP(Table2[[#This Row],[Home Team]],division_lookup,2,FALSE)=VLOOKUP(Table2[[#This Row],[Away Team]],division_lookup,2,FALSE),TRUE, FALSE)</f>
        <v>0</v>
      </c>
    </row>
    <row r="67" spans="1:31" x14ac:dyDescent="0.25">
      <c r="A67">
        <v>5</v>
      </c>
      <c r="B67" t="s">
        <v>22</v>
      </c>
      <c r="C67" t="s">
        <v>12</v>
      </c>
      <c r="D67">
        <v>30</v>
      </c>
      <c r="E67">
        <v>17</v>
      </c>
      <c r="F67" s="6">
        <f>VLOOKUP(Table2[[#This Row],[Home Team]],home_lookup,3,FALSE)+VLOOKUP(Table2[[#This Row],[Home Team]],off_pts_lookup,7,FALSE)+VLOOKUP(Table2[[#This Row],[Away Team]],def_diff_lookup,14,FALSE)</f>
        <v>30.091552914198218</v>
      </c>
      <c r="G67" s="6">
        <f>VLOOKUP(Table2[[#This Row],[Away Team]],off_pts_lookup,7,FALSE)+VLOOKUP(Table2[[#This Row],[Home Team]],def_diff_lookup,14,FALSE)</f>
        <v>24.273200757575754</v>
      </c>
      <c r="H67" s="3">
        <f>VLOOKUP(Table2[[#This Row],[Home Team]],pace_lookup,5,FALSE)</f>
        <v>56.9</v>
      </c>
      <c r="I67" s="3">
        <f>VLOOKUP(Table2[[#This Row],[Away Team]],pace_lookup,5,FALSE)</f>
        <v>63.909090909090907</v>
      </c>
      <c r="J67" s="13">
        <f t="shared" ref="J67:J130" si="11">D67+E67</f>
        <v>47</v>
      </c>
      <c r="K67">
        <v>44</v>
      </c>
      <c r="N67" s="33">
        <f>Table2[[#This Row],[Home EV]]+Table2[[#This Row],[Away EV]]</f>
        <v>54.364753671773968</v>
      </c>
      <c r="O67" s="13">
        <f t="shared" si="9"/>
        <v>-13</v>
      </c>
      <c r="P67">
        <v>-2.5</v>
      </c>
      <c r="Q6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67" s="33">
        <v>-6.45</v>
      </c>
      <c r="S67" s="33">
        <f t="shared" si="8"/>
        <v>-4.3062500000000004</v>
      </c>
      <c r="T67" s="33"/>
      <c r="U67" s="33"/>
      <c r="V67" s="33">
        <f>-VLOOKUP(Table2[[#This Row],[Home Team]],home_lookup,3,FALSE)-VLOOKUP(B67,lookup,2,FALSE)+VLOOKUP(C67,lookup,2,FALSE)</f>
        <v>-7.5638067020770077</v>
      </c>
      <c r="W67" s="1">
        <f t="shared" ref="W67:W130" si="12">$O67-S67</f>
        <v>-8.6937499999999996</v>
      </c>
      <c r="X67" s="1">
        <f>Table2[[#This Row],[ERR (A)]]^2</f>
        <v>75.581289062499991</v>
      </c>
      <c r="Y67" s="1">
        <f t="shared" si="10"/>
        <v>-5.4361932979229923</v>
      </c>
      <c r="Z67" s="1">
        <f>Table2[[#This Row],[ERR (B)]]^2</f>
        <v>29.552197572382859</v>
      </c>
      <c r="AA67" s="18">
        <f>Table2[[#This Row],[Pace (H)]]-Table2[[#This Row],[Pace (A)]]</f>
        <v>-7.0090909090909079</v>
      </c>
      <c r="AB67" s="19">
        <f>Table2[[#This Row],[Total EV]]-Table2[[#Totals],[Total EV]]</f>
        <v>5.4930438602863418</v>
      </c>
      <c r="AC67" s="19">
        <f>Table2[[#This Row],[Total EV]]-Table2[[#This Row],[Total (V)]]</f>
        <v>10.364753671773968</v>
      </c>
      <c r="AD67" s="3">
        <f>Table2[[#This Row],[Margin (V)]]-Table2[[#This Row],[EV (A)]]</f>
        <v>1.8062500000000004</v>
      </c>
      <c r="AE67" t="b">
        <f>IF(VLOOKUP(Table2[[#This Row],[Home Team]],division_lookup,2,FALSE)=VLOOKUP(Table2[[#This Row],[Away Team]],division_lookup,2,FALSE),TRUE, FALSE)</f>
        <v>0</v>
      </c>
    </row>
    <row r="68" spans="1:31" x14ac:dyDescent="0.25">
      <c r="A68">
        <v>5</v>
      </c>
      <c r="B68" t="s">
        <v>29</v>
      </c>
      <c r="C68" t="s">
        <v>8</v>
      </c>
      <c r="D68">
        <v>31</v>
      </c>
      <c r="E68">
        <v>13</v>
      </c>
      <c r="F68" s="6">
        <f>VLOOKUP(Table2[[#This Row],[Home Team]],home_lookup,3,FALSE)+VLOOKUP(Table2[[#This Row],[Home Team]],off_pts_lookup,7,FALSE)+VLOOKUP(Table2[[#This Row],[Away Team]],def_diff_lookup,14,FALSE)</f>
        <v>32.809891187319465</v>
      </c>
      <c r="G68" s="6">
        <f>VLOOKUP(Table2[[#This Row],[Away Team]],off_pts_lookup,7,FALSE)+VLOOKUP(Table2[[#This Row],[Home Team]],def_diff_lookup,14,FALSE)</f>
        <v>16.527746212121208</v>
      </c>
      <c r="H68" s="3">
        <f>VLOOKUP(Table2[[#This Row],[Home Team]],pace_lookup,5,FALSE)</f>
        <v>64.400000000000006</v>
      </c>
      <c r="I68" s="3">
        <f>VLOOKUP(Table2[[#This Row],[Away Team]],pace_lookup,5,FALSE)</f>
        <v>62.6</v>
      </c>
      <c r="J68" s="13">
        <f t="shared" si="11"/>
        <v>44</v>
      </c>
      <c r="K68">
        <v>50</v>
      </c>
      <c r="N68" s="33">
        <f>Table2[[#This Row],[Home EV]]+Table2[[#This Row],[Away EV]]</f>
        <v>49.337637399440673</v>
      </c>
      <c r="O68" s="13">
        <f t="shared" si="9"/>
        <v>-18</v>
      </c>
      <c r="P68">
        <v>-9.5</v>
      </c>
      <c r="Q6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68" s="33">
        <v>-20.03</v>
      </c>
      <c r="S68" s="33">
        <f t="shared" si="8"/>
        <v>-11.706250000000001</v>
      </c>
      <c r="T68" s="33"/>
      <c r="U68" s="33"/>
      <c r="V68" s="33">
        <f>-VLOOKUP(Table2[[#This Row],[Home Team]],home_lookup,3,FALSE)-VLOOKUP(B68,lookup,2,FALSE)+VLOOKUP(C68,lookup,2,FALSE)</f>
        <v>-16.282144975198257</v>
      </c>
      <c r="W68" s="1">
        <f t="shared" si="12"/>
        <v>-6.2937499999999993</v>
      </c>
      <c r="X68" s="1">
        <f>Table2[[#This Row],[ERR (A)]]^2</f>
        <v>39.611289062499992</v>
      </c>
      <c r="Y68" s="1">
        <f t="shared" si="10"/>
        <v>-1.717855024801743</v>
      </c>
      <c r="Z68" s="1">
        <f>Table2[[#This Row],[ERR (B)]]^2</f>
        <v>2.951025886236597</v>
      </c>
      <c r="AA68" s="18">
        <f>Table2[[#This Row],[Pace (H)]]-Table2[[#This Row],[Pace (A)]]</f>
        <v>1.8000000000000043</v>
      </c>
      <c r="AB68" s="19">
        <f>Table2[[#This Row],[Total EV]]-Table2[[#Totals],[Total EV]]</f>
        <v>0.4659275879530469</v>
      </c>
      <c r="AC68" s="19">
        <f>Table2[[#This Row],[Total EV]]-Table2[[#This Row],[Total (V)]]</f>
        <v>-0.66236260055932661</v>
      </c>
      <c r="AD68" s="3">
        <f>Table2[[#This Row],[Margin (V)]]-Table2[[#This Row],[EV (A)]]</f>
        <v>2.2062500000000007</v>
      </c>
      <c r="AE68" t="b">
        <f>IF(VLOOKUP(Table2[[#This Row],[Home Team]],division_lookup,2,FALSE)=VLOOKUP(Table2[[#This Row],[Away Team]],division_lookup,2,FALSE),TRUE, FALSE)</f>
        <v>0</v>
      </c>
    </row>
    <row r="69" spans="1:31" x14ac:dyDescent="0.25">
      <c r="A69">
        <v>5</v>
      </c>
      <c r="B69" t="s">
        <v>14</v>
      </c>
      <c r="C69" t="s">
        <v>27</v>
      </c>
      <c r="D69">
        <v>13</v>
      </c>
      <c r="E69">
        <v>33</v>
      </c>
      <c r="F69" s="6">
        <f>VLOOKUP(Table2[[#This Row],[Home Team]],home_lookup,3,FALSE)+VLOOKUP(Table2[[#This Row],[Home Team]],off_pts_lookup,7,FALSE)+VLOOKUP(Table2[[#This Row],[Away Team]],def_diff_lookup,14,FALSE)</f>
        <v>11.714356909282237</v>
      </c>
      <c r="G69" s="6">
        <f>VLOOKUP(Table2[[#This Row],[Away Team]],off_pts_lookup,7,FALSE)+VLOOKUP(Table2[[#This Row],[Home Team]],def_diff_lookup,14,FALSE)</f>
        <v>33.773200757575751</v>
      </c>
      <c r="H69" s="3">
        <f>VLOOKUP(Table2[[#This Row],[Home Team]],pace_lookup,5,FALSE)</f>
        <v>60.090909090909093</v>
      </c>
      <c r="I69" s="3">
        <f>VLOOKUP(Table2[[#This Row],[Away Team]],pace_lookup,5,FALSE)</f>
        <v>63.9</v>
      </c>
      <c r="J69" s="13">
        <f t="shared" si="11"/>
        <v>46</v>
      </c>
      <c r="K69">
        <v>48</v>
      </c>
      <c r="N69" s="33">
        <f>Table2[[#This Row],[Home EV]]+Table2[[#This Row],[Away EV]]</f>
        <v>45.487557666857988</v>
      </c>
      <c r="O69" s="13">
        <f t="shared" si="9"/>
        <v>20</v>
      </c>
      <c r="P69">
        <v>10</v>
      </c>
      <c r="Q6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69" s="33">
        <v>2.69</v>
      </c>
      <c r="S69" s="33">
        <f t="shared" si="8"/>
        <v>16.393750000000001</v>
      </c>
      <c r="T69" s="33"/>
      <c r="U69" s="33"/>
      <c r="V69" s="33">
        <f>-VLOOKUP(Table2[[#This Row],[Home Team]],home_lookup,3,FALSE)-VLOOKUP(B69,lookup,2,FALSE)+VLOOKUP(C69,lookup,2,FALSE)</f>
        <v>19.440662030111703</v>
      </c>
      <c r="W69" s="1">
        <f t="shared" si="12"/>
        <v>3.6062499999999993</v>
      </c>
      <c r="X69" s="1">
        <f>Table2[[#This Row],[ERR (A)]]^2</f>
        <v>13.005039062499995</v>
      </c>
      <c r="Y69" s="1">
        <f t="shared" si="10"/>
        <v>0.55933796988829698</v>
      </c>
      <c r="Z69" s="1">
        <f>Table2[[#This Row],[ERR (B)]]^2</f>
        <v>0.31285896455876144</v>
      </c>
      <c r="AA69" s="18">
        <f>Table2[[#This Row],[Pace (H)]]-Table2[[#This Row],[Pace (A)]]</f>
        <v>-3.8090909090909051</v>
      </c>
      <c r="AB69" s="19">
        <f>Table2[[#This Row],[Total EV]]-Table2[[#Totals],[Total EV]]</f>
        <v>-3.3841521446296383</v>
      </c>
      <c r="AC69" s="19">
        <f>Table2[[#This Row],[Total EV]]-Table2[[#This Row],[Total (V)]]</f>
        <v>-2.5124423331420118</v>
      </c>
      <c r="AD69" s="3">
        <f>Table2[[#This Row],[Margin (V)]]-Table2[[#This Row],[EV (A)]]</f>
        <v>-6.3937500000000007</v>
      </c>
      <c r="AE69" t="b">
        <f>IF(VLOOKUP(Table2[[#This Row],[Home Team]],division_lookup,2,FALSE)=VLOOKUP(Table2[[#This Row],[Away Team]],division_lookup,2,FALSE),TRUE, FALSE)</f>
        <v>0</v>
      </c>
    </row>
    <row r="70" spans="1:31" x14ac:dyDescent="0.25">
      <c r="A70">
        <v>5</v>
      </c>
      <c r="B70" t="s">
        <v>23</v>
      </c>
      <c r="C70" t="s">
        <v>13</v>
      </c>
      <c r="D70">
        <v>24</v>
      </c>
      <c r="E70">
        <v>23</v>
      </c>
      <c r="F70" s="6">
        <f>VLOOKUP(Table2[[#This Row],[Home Team]],home_lookup,3,FALSE)+VLOOKUP(Table2[[#This Row],[Home Team]],off_pts_lookup,7,FALSE)+VLOOKUP(Table2[[#This Row],[Away Team]],def_diff_lookup,14,FALSE)</f>
        <v>22.280805612513667</v>
      </c>
      <c r="G70" s="6">
        <f>VLOOKUP(Table2[[#This Row],[Away Team]],off_pts_lookup,7,FALSE)+VLOOKUP(Table2[[#This Row],[Home Team]],def_diff_lookup,14,FALSE)</f>
        <v>23.727746212121211</v>
      </c>
      <c r="H70" s="3">
        <f>VLOOKUP(Table2[[#This Row],[Home Team]],pace_lookup,5,FALSE)</f>
        <v>59.4</v>
      </c>
      <c r="I70" s="3">
        <f>VLOOKUP(Table2[[#This Row],[Away Team]],pace_lookup,5,FALSE)</f>
        <v>65.5</v>
      </c>
      <c r="J70" s="13">
        <f t="shared" si="11"/>
        <v>47</v>
      </c>
      <c r="K70">
        <v>46</v>
      </c>
      <c r="N70" s="33">
        <f>Table2[[#This Row],[Home EV]]+Table2[[#This Row],[Away EV]]</f>
        <v>46.008551824634878</v>
      </c>
      <c r="O70" s="13">
        <f t="shared" si="9"/>
        <v>-1</v>
      </c>
      <c r="P70">
        <v>3.5</v>
      </c>
      <c r="Q7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0" s="33">
        <v>21.27</v>
      </c>
      <c r="S70" s="33">
        <f t="shared" si="8"/>
        <v>5.9937500000000004</v>
      </c>
      <c r="T70" s="33"/>
      <c r="U70" s="33"/>
      <c r="V70" s="33">
        <f>-VLOOKUP(Table2[[#This Row],[Home Team]],home_lookup,3,FALSE)-VLOOKUP(B70,lookup,2,FALSE)+VLOOKUP(C70,lookup,2,FALSE)</f>
        <v>5.446940599607542</v>
      </c>
      <c r="W70" s="1">
        <f t="shared" si="12"/>
        <v>-6.9937500000000004</v>
      </c>
      <c r="X70" s="1">
        <f>Table2[[#This Row],[ERR (A)]]^2</f>
        <v>48.912539062500002</v>
      </c>
      <c r="Y70" s="1">
        <f t="shared" si="10"/>
        <v>-6.446940599607542</v>
      </c>
      <c r="Z70" s="1">
        <f>Table2[[#This Row],[ERR (B)]]^2</f>
        <v>41.56304309486805</v>
      </c>
      <c r="AA70" s="18">
        <f>Table2[[#This Row],[Pace (H)]]-Table2[[#This Row],[Pace (A)]]</f>
        <v>-6.1000000000000014</v>
      </c>
      <c r="AB70" s="19">
        <f>Table2[[#This Row],[Total EV]]-Table2[[#Totals],[Total EV]]</f>
        <v>-2.8631579868527481</v>
      </c>
      <c r="AC70" s="19">
        <f>Table2[[#This Row],[Total EV]]-Table2[[#This Row],[Total (V)]]</f>
        <v>8.5518246348783578E-3</v>
      </c>
      <c r="AD70" s="3">
        <f>Table2[[#This Row],[Margin (V)]]-Table2[[#This Row],[EV (A)]]</f>
        <v>-2.4937500000000004</v>
      </c>
      <c r="AE70" t="b">
        <f>IF(VLOOKUP(Table2[[#This Row],[Home Team]],division_lookup,2,FALSE)=VLOOKUP(Table2[[#This Row],[Away Team]],division_lookup,2,FALSE),TRUE, FALSE)</f>
        <v>0</v>
      </c>
    </row>
    <row r="71" spans="1:31" x14ac:dyDescent="0.25">
      <c r="A71">
        <v>5</v>
      </c>
      <c r="B71" t="s">
        <v>5</v>
      </c>
      <c r="C71" t="s">
        <v>30</v>
      </c>
      <c r="D71">
        <v>10</v>
      </c>
      <c r="E71">
        <v>16</v>
      </c>
      <c r="F71" s="6">
        <f>VLOOKUP(Table2[[#This Row],[Home Team]],home_lookup,3,FALSE)+VLOOKUP(Table2[[#This Row],[Home Team]],off_pts_lookup,7,FALSE)+VLOOKUP(Table2[[#This Row],[Away Team]],def_diff_lookup,14,FALSE)</f>
        <v>26.388549982716029</v>
      </c>
      <c r="G71" s="6">
        <f>VLOOKUP(Table2[[#This Row],[Away Team]],off_pts_lookup,7,FALSE)+VLOOKUP(Table2[[#This Row],[Home Team]],def_diff_lookup,14,FALSE)</f>
        <v>21.227746212121215</v>
      </c>
      <c r="H71" s="3">
        <f>VLOOKUP(Table2[[#This Row],[Home Team]],pace_lookup,5,FALSE)</f>
        <v>67.400000000000006</v>
      </c>
      <c r="I71" s="3">
        <f>VLOOKUP(Table2[[#This Row],[Away Team]],pace_lookup,5,FALSE)</f>
        <v>65.5</v>
      </c>
      <c r="J71" s="13">
        <f t="shared" si="11"/>
        <v>26</v>
      </c>
      <c r="K71">
        <v>44.5</v>
      </c>
      <c r="N71" s="33">
        <f>Table2[[#This Row],[Home EV]]+Table2[[#This Row],[Away EV]]</f>
        <v>47.616296194837247</v>
      </c>
      <c r="O71" s="13">
        <f t="shared" si="9"/>
        <v>6</v>
      </c>
      <c r="P71">
        <v>-4</v>
      </c>
      <c r="Q7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1" s="33">
        <v>-7.51</v>
      </c>
      <c r="S71" s="33">
        <f t="shared" si="8"/>
        <v>-1.6062500000000002</v>
      </c>
      <c r="T71" s="33"/>
      <c r="U71" s="33"/>
      <c r="V71" s="33">
        <f>-VLOOKUP(Table2[[#This Row],[Home Team]],home_lookup,3,FALSE)-VLOOKUP(B71,lookup,2,FALSE)+VLOOKUP(C71,lookup,2,FALSE)</f>
        <v>-4.7608037705948147</v>
      </c>
      <c r="W71" s="1">
        <f t="shared" si="12"/>
        <v>7.6062500000000002</v>
      </c>
      <c r="X71" s="1">
        <f>Table2[[#This Row],[ERR (A)]]^2</f>
        <v>57.855039062500005</v>
      </c>
      <c r="Y71" s="1">
        <f t="shared" si="10"/>
        <v>10.760803770594816</v>
      </c>
      <c r="Z71" s="1">
        <f>Table2[[#This Row],[ERR (B)]]^2</f>
        <v>115.7948977892476</v>
      </c>
      <c r="AA71" s="18">
        <f>Table2[[#This Row],[Pace (H)]]-Table2[[#This Row],[Pace (A)]]</f>
        <v>1.9000000000000057</v>
      </c>
      <c r="AB71" s="19">
        <f>Table2[[#This Row],[Total EV]]-Table2[[#Totals],[Total EV]]</f>
        <v>-1.2554136166503795</v>
      </c>
      <c r="AC71" s="19">
        <f>Table2[[#This Row],[Total EV]]-Table2[[#This Row],[Total (V)]]</f>
        <v>3.116296194837247</v>
      </c>
      <c r="AD71" s="3">
        <f>Table2[[#This Row],[Margin (V)]]-Table2[[#This Row],[EV (A)]]</f>
        <v>-2.3937499999999998</v>
      </c>
      <c r="AE71" t="b">
        <f>IF(VLOOKUP(Table2[[#This Row],[Home Team]],division_lookup,2,FALSE)=VLOOKUP(Table2[[#This Row],[Away Team]],division_lookup,2,FALSE),TRUE, FALSE)</f>
        <v>0</v>
      </c>
    </row>
    <row r="72" spans="1:31" x14ac:dyDescent="0.25">
      <c r="A72">
        <v>5</v>
      </c>
      <c r="B72" t="s">
        <v>11</v>
      </c>
      <c r="C72" t="s">
        <v>9</v>
      </c>
      <c r="D72">
        <v>31</v>
      </c>
      <c r="E72">
        <v>13</v>
      </c>
      <c r="F72" s="6">
        <f>VLOOKUP(Table2[[#This Row],[Home Team]],home_lookup,3,FALSE)+VLOOKUP(Table2[[#This Row],[Home Team]],off_pts_lookup,7,FALSE)+VLOOKUP(Table2[[#This Row],[Away Team]],def_diff_lookup,14,FALSE)</f>
        <v>22.218994996689581</v>
      </c>
      <c r="G72" s="6">
        <f>VLOOKUP(Table2[[#This Row],[Away Team]],off_pts_lookup,7,FALSE)+VLOOKUP(Table2[[#This Row],[Home Team]],def_diff_lookup,14,FALSE)</f>
        <v>12.616635101010097</v>
      </c>
      <c r="H72" s="3">
        <f>VLOOKUP(Table2[[#This Row],[Home Team]],pace_lookup,5,FALSE)</f>
        <v>62.9</v>
      </c>
      <c r="I72" s="3">
        <f>VLOOKUP(Table2[[#This Row],[Away Team]],pace_lookup,5,FALSE)</f>
        <v>65.777777777777771</v>
      </c>
      <c r="J72" s="13">
        <f t="shared" si="11"/>
        <v>44</v>
      </c>
      <c r="K72">
        <v>38.5</v>
      </c>
      <c r="N72" s="33">
        <f>Table2[[#This Row],[Home EV]]+Table2[[#This Row],[Away EV]]</f>
        <v>34.835630097699678</v>
      </c>
      <c r="O72" s="13">
        <f t="shared" si="9"/>
        <v>-18</v>
      </c>
      <c r="P72">
        <v>-6</v>
      </c>
      <c r="Q7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72" s="33">
        <v>-17.95</v>
      </c>
      <c r="S72" s="33">
        <f t="shared" si="8"/>
        <v>-8.6062499999999993</v>
      </c>
      <c r="T72" s="33"/>
      <c r="U72" s="33"/>
      <c r="V72" s="33">
        <f>-VLOOKUP(Table2[[#This Row],[Home Team]],home_lookup,3,FALSE)-VLOOKUP(B72,lookup,2,FALSE)+VLOOKUP(C72,lookup,2,FALSE)</f>
        <v>-9.4023598956794849</v>
      </c>
      <c r="W72" s="1">
        <f t="shared" si="12"/>
        <v>-9.3937500000000007</v>
      </c>
      <c r="X72" s="1">
        <f>Table2[[#This Row],[ERR (A)]]^2</f>
        <v>88.242539062500015</v>
      </c>
      <c r="Y72" s="1">
        <f t="shared" si="10"/>
        <v>-8.5976401043205151</v>
      </c>
      <c r="Z72" s="1">
        <f>Table2[[#This Row],[ERR (B)]]^2</f>
        <v>73.919415363420484</v>
      </c>
      <c r="AA72" s="18">
        <f>Table2[[#This Row],[Pace (H)]]-Table2[[#This Row],[Pace (A)]]</f>
        <v>-2.8777777777777729</v>
      </c>
      <c r="AB72" s="19">
        <f>Table2[[#This Row],[Total EV]]-Table2[[#Totals],[Total EV]]</f>
        <v>-14.036079713787949</v>
      </c>
      <c r="AC72" s="19">
        <f>Table2[[#This Row],[Total EV]]-Table2[[#This Row],[Total (V)]]</f>
        <v>-3.6643699023003222</v>
      </c>
      <c r="AD72" s="3">
        <f>Table2[[#This Row],[Margin (V)]]-Table2[[#This Row],[EV (A)]]</f>
        <v>2.6062499999999993</v>
      </c>
      <c r="AE72" t="b">
        <f>IF(VLOOKUP(Table2[[#This Row],[Home Team]],division_lookup,2,FALSE)=VLOOKUP(Table2[[#This Row],[Away Team]],division_lookup,2,FALSE),TRUE, FALSE)</f>
        <v>0</v>
      </c>
    </row>
    <row r="73" spans="1:31" x14ac:dyDescent="0.25">
      <c r="A73">
        <v>5</v>
      </c>
      <c r="B73" t="s">
        <v>1</v>
      </c>
      <c r="C73" t="s">
        <v>20</v>
      </c>
      <c r="D73">
        <v>16</v>
      </c>
      <c r="E73">
        <v>23</v>
      </c>
      <c r="F73" s="6">
        <f>VLOOKUP(Table2[[#This Row],[Home Team]],home_lookup,3,FALSE)+VLOOKUP(Table2[[#This Row],[Home Team]],off_pts_lookup,7,FALSE)+VLOOKUP(Table2[[#This Row],[Away Team]],def_diff_lookup,14,FALSE)</f>
        <v>30.987786374219418</v>
      </c>
      <c r="G73" s="6">
        <f>VLOOKUP(Table2[[#This Row],[Away Team]],off_pts_lookup,7,FALSE)+VLOOKUP(Table2[[#This Row],[Home Team]],def_diff_lookup,14,FALSE)</f>
        <v>28.027746212121208</v>
      </c>
      <c r="H73" s="3">
        <f>VLOOKUP(Table2[[#This Row],[Home Team]],pace_lookup,5,FALSE)</f>
        <v>64</v>
      </c>
      <c r="I73" s="3">
        <f>VLOOKUP(Table2[[#This Row],[Away Team]],pace_lookup,5,FALSE)</f>
        <v>61.9</v>
      </c>
      <c r="J73" s="13">
        <f t="shared" si="11"/>
        <v>39</v>
      </c>
      <c r="K73">
        <v>44.5</v>
      </c>
      <c r="N73" s="33">
        <f>Table2[[#This Row],[Home EV]]+Table2[[#This Row],[Away EV]]</f>
        <v>59.015532586340626</v>
      </c>
      <c r="O73" s="13">
        <f t="shared" si="9"/>
        <v>7</v>
      </c>
      <c r="P73">
        <v>-4</v>
      </c>
      <c r="Q7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3" s="33">
        <v>-7.67</v>
      </c>
      <c r="S73" s="33">
        <f t="shared" si="8"/>
        <v>-2.5062500000000005</v>
      </c>
      <c r="T73" s="33"/>
      <c r="U73" s="33"/>
      <c r="V73" s="33">
        <f>-VLOOKUP(Table2[[#This Row],[Home Team]],home_lookup,3,FALSE)-VLOOKUP(B73,lookup,2,FALSE)+VLOOKUP(C73,lookup,2,FALSE)</f>
        <v>-1.2600401620982113</v>
      </c>
      <c r="W73" s="1">
        <f t="shared" si="12"/>
        <v>9.5062500000000014</v>
      </c>
      <c r="X73" s="1">
        <f>Table2[[#This Row],[ERR (A)]]^2</f>
        <v>90.368789062500028</v>
      </c>
      <c r="Y73" s="1">
        <f t="shared" si="10"/>
        <v>8.2600401620982105</v>
      </c>
      <c r="Z73" s="1">
        <f>Table2[[#This Row],[ERR (B)]]^2</f>
        <v>68.22826347947543</v>
      </c>
      <c r="AA73" s="18">
        <f>Table2[[#This Row],[Pace (H)]]-Table2[[#This Row],[Pace (A)]]</f>
        <v>2.1000000000000014</v>
      </c>
      <c r="AB73" s="19">
        <f>Table2[[#This Row],[Total EV]]-Table2[[#Totals],[Total EV]]</f>
        <v>10.143822774853</v>
      </c>
      <c r="AC73" s="19">
        <f>Table2[[#This Row],[Total EV]]-Table2[[#This Row],[Total (V)]]</f>
        <v>14.515532586340626</v>
      </c>
      <c r="AD73" s="3">
        <f>Table2[[#This Row],[Margin (V)]]-Table2[[#This Row],[EV (A)]]</f>
        <v>-1.4937499999999995</v>
      </c>
      <c r="AE73" t="b">
        <f>IF(VLOOKUP(Table2[[#This Row],[Home Team]],division_lookup,2,FALSE)=VLOOKUP(Table2[[#This Row],[Away Team]],division_lookup,2,FALSE),TRUE, FALSE)</f>
        <v>0</v>
      </c>
    </row>
    <row r="74" spans="1:31" x14ac:dyDescent="0.25">
      <c r="A74">
        <v>5</v>
      </c>
      <c r="B74" t="s">
        <v>32</v>
      </c>
      <c r="C74" t="s">
        <v>6</v>
      </c>
      <c r="D74">
        <v>19</v>
      </c>
      <c r="E74">
        <v>30</v>
      </c>
      <c r="F74" s="6">
        <f>VLOOKUP(Table2[[#This Row],[Home Team]],home_lookup,3,FALSE)+VLOOKUP(Table2[[#This Row],[Home Team]],off_pts_lookup,7,FALSE)+VLOOKUP(Table2[[#This Row],[Away Team]],def_diff_lookup,14,FALSE)</f>
        <v>16.55756289122094</v>
      </c>
      <c r="G74" s="6">
        <f>VLOOKUP(Table2[[#This Row],[Away Team]],off_pts_lookup,7,FALSE)+VLOOKUP(Table2[[#This Row],[Home Team]],def_diff_lookup,14,FALSE)</f>
        <v>21.12774621212121</v>
      </c>
      <c r="H74" s="3">
        <f>VLOOKUP(Table2[[#This Row],[Home Team]],pace_lookup,5,FALSE)</f>
        <v>62.2</v>
      </c>
      <c r="I74" s="3">
        <f>VLOOKUP(Table2[[#This Row],[Away Team]],pace_lookup,5,FALSE)</f>
        <v>62.5</v>
      </c>
      <c r="J74" s="13">
        <f t="shared" si="11"/>
        <v>49</v>
      </c>
      <c r="K74">
        <v>41.5</v>
      </c>
      <c r="N74" s="33">
        <f>Table2[[#This Row],[Home EV]]+Table2[[#This Row],[Away EV]]</f>
        <v>37.685309103342149</v>
      </c>
      <c r="O74" s="13">
        <f t="shared" si="9"/>
        <v>11</v>
      </c>
      <c r="P74">
        <v>2.5</v>
      </c>
      <c r="Q7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74" s="33">
        <v>5.39</v>
      </c>
      <c r="S74" s="33">
        <f t="shared" si="8"/>
        <v>5.9937499999999995</v>
      </c>
      <c r="T74" s="33"/>
      <c r="U74" s="33"/>
      <c r="V74" s="33">
        <f>-VLOOKUP(Table2[[#This Row],[Home Team]],home_lookup,3,FALSE)-VLOOKUP(B74,lookup,2,FALSE)+VLOOKUP(C74,lookup,2,FALSE)</f>
        <v>5.8701833209002707</v>
      </c>
      <c r="W74" s="1">
        <f t="shared" si="12"/>
        <v>5.0062500000000005</v>
      </c>
      <c r="X74" s="1">
        <f>Table2[[#This Row],[ERR (A)]]^2</f>
        <v>25.062539062500004</v>
      </c>
      <c r="Y74" s="1">
        <f t="shared" si="10"/>
        <v>5.1298166790997293</v>
      </c>
      <c r="Z74" s="1">
        <f>Table2[[#This Row],[ERR (B)]]^2</f>
        <v>26.315019161169776</v>
      </c>
      <c r="AA74" s="18">
        <f>Table2[[#This Row],[Pace (H)]]-Table2[[#This Row],[Pace (A)]]</f>
        <v>-0.29999999999999716</v>
      </c>
      <c r="AB74" s="19">
        <f>Table2[[#This Row],[Total EV]]-Table2[[#Totals],[Total EV]]</f>
        <v>-11.186400708145477</v>
      </c>
      <c r="AC74" s="19">
        <f>Table2[[#This Row],[Total EV]]-Table2[[#This Row],[Total (V)]]</f>
        <v>-3.8146908966578508</v>
      </c>
      <c r="AD74" s="3">
        <f>Table2[[#This Row],[Margin (V)]]-Table2[[#This Row],[EV (A)]]</f>
        <v>-3.4937499999999995</v>
      </c>
      <c r="AE74" t="b">
        <f>IF(VLOOKUP(Table2[[#This Row],[Home Team]],division_lookup,2,FALSE)=VLOOKUP(Table2[[#This Row],[Away Team]],division_lookup,2,FALSE),TRUE, FALSE)</f>
        <v>0</v>
      </c>
    </row>
    <row r="75" spans="1:31" x14ac:dyDescent="0.25">
      <c r="A75">
        <v>5</v>
      </c>
      <c r="B75" t="s">
        <v>15</v>
      </c>
      <c r="C75" t="s">
        <v>18</v>
      </c>
      <c r="D75">
        <v>34</v>
      </c>
      <c r="E75">
        <v>31</v>
      </c>
      <c r="F75" s="6">
        <f>VLOOKUP(Table2[[#This Row],[Home Team]],home_lookup,3,FALSE)+VLOOKUP(Table2[[#This Row],[Home Team]],off_pts_lookup,7,FALSE)+VLOOKUP(Table2[[#This Row],[Away Team]],def_diff_lookup,14,FALSE)</f>
        <v>30.577082137443664</v>
      </c>
      <c r="G75" s="6">
        <f>VLOOKUP(Table2[[#This Row],[Away Team]],off_pts_lookup,7,FALSE)+VLOOKUP(Table2[[#This Row],[Home Team]],def_diff_lookup,14,FALSE)</f>
        <v>31.105523989898987</v>
      </c>
      <c r="H75" s="3">
        <f>VLOOKUP(Table2[[#This Row],[Home Team]],pace_lookup,5,FALSE)</f>
        <v>67</v>
      </c>
      <c r="I75" s="3">
        <f>VLOOKUP(Table2[[#This Row],[Away Team]],pace_lookup,5,FALSE)</f>
        <v>66.400000000000006</v>
      </c>
      <c r="J75" s="13">
        <f t="shared" si="11"/>
        <v>65</v>
      </c>
      <c r="K75">
        <v>51</v>
      </c>
      <c r="N75" s="33">
        <f>Table2[[#This Row],[Home EV]]+Table2[[#This Row],[Away EV]]</f>
        <v>61.682606127342652</v>
      </c>
      <c r="O75" s="13">
        <f t="shared" si="9"/>
        <v>-3</v>
      </c>
      <c r="P75">
        <v>-3.5</v>
      </c>
      <c r="Q7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5" s="33">
        <v>-7.08</v>
      </c>
      <c r="S75" s="33">
        <f t="shared" si="8"/>
        <v>-3.7062499999999998</v>
      </c>
      <c r="T75" s="33"/>
      <c r="U75" s="33"/>
      <c r="V75" s="33">
        <f>-VLOOKUP(Table2[[#This Row],[Home Team]],home_lookup,3,FALSE)-VLOOKUP(B75,lookup,2,FALSE)+VLOOKUP(C75,lookup,2,FALSE)</f>
        <v>0.7728862968997674</v>
      </c>
      <c r="W75" s="1">
        <f t="shared" si="12"/>
        <v>0.70624999999999982</v>
      </c>
      <c r="X75" s="1">
        <f>Table2[[#This Row],[ERR (A)]]^2</f>
        <v>0.49878906249999977</v>
      </c>
      <c r="Y75" s="1">
        <f t="shared" si="10"/>
        <v>-3.7728862968997676</v>
      </c>
      <c r="Z75" s="1">
        <f>Table2[[#This Row],[ERR (B)]]^2</f>
        <v>14.234671009334042</v>
      </c>
      <c r="AA75" s="18">
        <f>Table2[[#This Row],[Pace (H)]]-Table2[[#This Row],[Pace (A)]]</f>
        <v>0.59999999999999432</v>
      </c>
      <c r="AB75" s="19">
        <f>Table2[[#This Row],[Total EV]]-Table2[[#Totals],[Total EV]]</f>
        <v>12.810896315855025</v>
      </c>
      <c r="AC75" s="19">
        <f>Table2[[#This Row],[Total EV]]-Table2[[#This Row],[Total (V)]]</f>
        <v>10.682606127342652</v>
      </c>
      <c r="AD75" s="3">
        <f>Table2[[#This Row],[Margin (V)]]-Table2[[#This Row],[EV (A)]]</f>
        <v>0.20624999999999982</v>
      </c>
      <c r="AE75" t="b">
        <f>IF(VLOOKUP(Table2[[#This Row],[Home Team]],division_lookup,2,FALSE)=VLOOKUP(Table2[[#This Row],[Away Team]],division_lookup,2,FALSE),TRUE, FALSE)</f>
        <v>1</v>
      </c>
    </row>
    <row r="76" spans="1:31" x14ac:dyDescent="0.25">
      <c r="A76">
        <v>5</v>
      </c>
      <c r="B76" t="s">
        <v>26</v>
      </c>
      <c r="C76" t="s">
        <v>7</v>
      </c>
      <c r="D76">
        <v>28</v>
      </c>
      <c r="E76">
        <v>14</v>
      </c>
      <c r="F76" s="6">
        <f>VLOOKUP(Table2[[#This Row],[Home Team]],home_lookup,3,FALSE)+VLOOKUP(Table2[[#This Row],[Home Team]],off_pts_lookup,7,FALSE)+VLOOKUP(Table2[[#This Row],[Away Team]],def_diff_lookup,14,FALSE)</f>
        <v>28.336507972904357</v>
      </c>
      <c r="G76" s="6">
        <f>VLOOKUP(Table2[[#This Row],[Away Team]],off_pts_lookup,7,FALSE)+VLOOKUP(Table2[[#This Row],[Home Team]],def_diff_lookup,14,FALSE)</f>
        <v>15.727746212121211</v>
      </c>
      <c r="H76" s="3">
        <f>VLOOKUP(Table2[[#This Row],[Home Team]],pace_lookup,5,FALSE)</f>
        <v>66.5</v>
      </c>
      <c r="I76" s="3">
        <f>VLOOKUP(Table2[[#This Row],[Away Team]],pace_lookup,5,FALSE)</f>
        <v>65.900000000000006</v>
      </c>
      <c r="J76" s="13">
        <f t="shared" si="11"/>
        <v>42</v>
      </c>
      <c r="K76">
        <v>45.5</v>
      </c>
      <c r="N76" s="33">
        <f>Table2[[#This Row],[Home EV]]+Table2[[#This Row],[Away EV]]</f>
        <v>44.064254185025568</v>
      </c>
      <c r="O76" s="13">
        <f t="shared" si="9"/>
        <v>-14</v>
      </c>
      <c r="P76">
        <v>2.5</v>
      </c>
      <c r="Q7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76" s="33">
        <v>-4.01</v>
      </c>
      <c r="S76" s="33">
        <f t="shared" si="8"/>
        <v>-11.90625</v>
      </c>
      <c r="T76" s="33"/>
      <c r="U76" s="33"/>
      <c r="V76" s="33">
        <f>-VLOOKUP(Table2[[#This Row],[Home Team]],home_lookup,3,FALSE)-VLOOKUP(B76,lookup,2,FALSE)+VLOOKUP(C76,lookup,2,FALSE)</f>
        <v>-9.1087617607831444</v>
      </c>
      <c r="W76" s="1">
        <f t="shared" si="12"/>
        <v>-2.09375</v>
      </c>
      <c r="X76" s="1">
        <f>Table2[[#This Row],[ERR (A)]]^2</f>
        <v>4.3837890625</v>
      </c>
      <c r="Y76" s="1">
        <f t="shared" si="10"/>
        <v>-4.8912382392168556</v>
      </c>
      <c r="Z76" s="1">
        <f>Table2[[#This Row],[ERR (B)]]^2</f>
        <v>23.924211512777205</v>
      </c>
      <c r="AA76" s="18">
        <f>Table2[[#This Row],[Pace (H)]]-Table2[[#This Row],[Pace (A)]]</f>
        <v>0.59999999999999432</v>
      </c>
      <c r="AB76" s="19">
        <f>Table2[[#This Row],[Total EV]]-Table2[[#Totals],[Total EV]]</f>
        <v>-4.8074556264620583</v>
      </c>
      <c r="AC76" s="19">
        <f>Table2[[#This Row],[Total EV]]-Table2[[#This Row],[Total (V)]]</f>
        <v>-1.4357458149744318</v>
      </c>
      <c r="AD76" s="3">
        <f>Table2[[#This Row],[Margin (V)]]-Table2[[#This Row],[EV (A)]]</f>
        <v>14.40625</v>
      </c>
      <c r="AE76" t="b">
        <f>IF(VLOOKUP(Table2[[#This Row],[Home Team]],division_lookup,2,FALSE)=VLOOKUP(Table2[[#This Row],[Away Team]],division_lookup,2,FALSE),TRUE, FALSE)</f>
        <v>0</v>
      </c>
    </row>
    <row r="77" spans="1:31" x14ac:dyDescent="0.25">
      <c r="A77">
        <v>5</v>
      </c>
      <c r="B77" t="s">
        <v>3</v>
      </c>
      <c r="C77" t="s">
        <v>25</v>
      </c>
      <c r="D77">
        <v>23</v>
      </c>
      <c r="E77">
        <v>16</v>
      </c>
      <c r="F77" s="6">
        <f>VLOOKUP(Table2[[#This Row],[Home Team]],home_lookup,3,FALSE)+VLOOKUP(Table2[[#This Row],[Home Team]],off_pts_lookup,7,FALSE)+VLOOKUP(Table2[[#This Row],[Away Team]],def_diff_lookup,14,FALSE)</f>
        <v>25.430542379597458</v>
      </c>
      <c r="G77" s="6">
        <f>VLOOKUP(Table2[[#This Row],[Away Team]],off_pts_lookup,7,FALSE)+VLOOKUP(Table2[[#This Row],[Home Team]],def_diff_lookup,14,FALSE)</f>
        <v>25.127746212121213</v>
      </c>
      <c r="H77" s="3">
        <f>VLOOKUP(Table2[[#This Row],[Home Team]],pace_lookup,5,FALSE)</f>
        <v>66.2</v>
      </c>
      <c r="I77" s="3">
        <f>VLOOKUP(Table2[[#This Row],[Away Team]],pace_lookup,5,FALSE)</f>
        <v>62.6</v>
      </c>
      <c r="J77" s="13">
        <f t="shared" si="11"/>
        <v>39</v>
      </c>
      <c r="K77">
        <v>50</v>
      </c>
      <c r="N77" s="33">
        <f>Table2[[#This Row],[Home EV]]+Table2[[#This Row],[Away EV]]</f>
        <v>50.558288591718672</v>
      </c>
      <c r="O77" s="13">
        <f t="shared" si="9"/>
        <v>-7</v>
      </c>
      <c r="P77">
        <v>-7</v>
      </c>
      <c r="Q7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7" s="33">
        <v>-7.91</v>
      </c>
      <c r="S77" s="33">
        <f t="shared" si="8"/>
        <v>9.3750000000000222E-2</v>
      </c>
      <c r="T77" s="33"/>
      <c r="U77" s="33"/>
      <c r="V77" s="33">
        <f>-VLOOKUP(Table2[[#This Row],[Home Team]],home_lookup,3,FALSE)-VLOOKUP(B77,lookup,2,FALSE)+VLOOKUP(C77,lookup,2,FALSE)</f>
        <v>-0.60279616747624698</v>
      </c>
      <c r="W77" s="1">
        <f t="shared" si="12"/>
        <v>-7.09375</v>
      </c>
      <c r="X77" s="1">
        <f>Table2[[#This Row],[ERR (A)]]^2</f>
        <v>50.3212890625</v>
      </c>
      <c r="Y77" s="1">
        <f t="shared" si="10"/>
        <v>-6.3972038325237532</v>
      </c>
      <c r="Z77" s="1">
        <f>Table2[[#This Row],[ERR (B)]]^2</f>
        <v>40.924216874856597</v>
      </c>
      <c r="AA77" s="18">
        <f>Table2[[#This Row],[Pace (H)]]-Table2[[#This Row],[Pace (A)]]</f>
        <v>3.6000000000000014</v>
      </c>
      <c r="AB77" s="19">
        <f>Table2[[#This Row],[Total EV]]-Table2[[#Totals],[Total EV]]</f>
        <v>1.686578780231045</v>
      </c>
      <c r="AC77" s="19">
        <f>Table2[[#This Row],[Total EV]]-Table2[[#This Row],[Total (V)]]</f>
        <v>0.55828859171867151</v>
      </c>
      <c r="AD77" s="3">
        <f>Table2[[#This Row],[Margin (V)]]-Table2[[#This Row],[EV (A)]]</f>
        <v>-7.09375</v>
      </c>
      <c r="AE77" t="b">
        <f>IF(VLOOKUP(Table2[[#This Row],[Home Team]],division_lookup,2,FALSE)=VLOOKUP(Table2[[#This Row],[Away Team]],division_lookup,2,FALSE),TRUE, FALSE)</f>
        <v>0</v>
      </c>
    </row>
    <row r="78" spans="1:31" ht="15.75" thickBot="1" x14ac:dyDescent="0.3">
      <c r="A78" s="9">
        <v>5</v>
      </c>
      <c r="B78" s="9" t="s">
        <v>2</v>
      </c>
      <c r="C78" s="9" t="s">
        <v>19</v>
      </c>
      <c r="D78" s="9">
        <v>14</v>
      </c>
      <c r="E78" s="9">
        <v>17</v>
      </c>
      <c r="F78" s="30">
        <f>VLOOKUP(Table2[[#This Row],[Home Team]],home_lookup,3,FALSE)+VLOOKUP(Table2[[#This Row],[Home Team]],off_pts_lookup,7,FALSE)+VLOOKUP(Table2[[#This Row],[Away Team]],def_diff_lookup,14,FALSE)</f>
        <v>29.380811574940534</v>
      </c>
      <c r="G78" s="30">
        <f>VLOOKUP(Table2[[#This Row],[Away Team]],off_pts_lookup,7,FALSE)+VLOOKUP(Table2[[#This Row],[Home Team]],def_diff_lookup,14,FALSE)</f>
        <v>25.227746212121215</v>
      </c>
      <c r="H78" s="15">
        <f>VLOOKUP(Table2[[#This Row],[Home Team]],pace_lookup,5,FALSE)</f>
        <v>66.8</v>
      </c>
      <c r="I78" s="15">
        <f>VLOOKUP(Table2[[#This Row],[Away Team]],pace_lookup,5,FALSE)</f>
        <v>69.900000000000006</v>
      </c>
      <c r="J78" s="14">
        <f t="shared" si="11"/>
        <v>31</v>
      </c>
      <c r="K78" s="9">
        <v>47</v>
      </c>
      <c r="L78" s="9"/>
      <c r="M78" s="9"/>
      <c r="N78" s="34">
        <f>Table2[[#This Row],[Home EV]]+Table2[[#This Row],[Away EV]]</f>
        <v>54.608557787061748</v>
      </c>
      <c r="O78" s="14">
        <f t="shared" si="9"/>
        <v>3</v>
      </c>
      <c r="P78" s="9">
        <v>-6</v>
      </c>
      <c r="Q78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8" s="34">
        <v>-16.91</v>
      </c>
      <c r="S78" s="34">
        <f t="shared" si="8"/>
        <v>-5.8062500000000004</v>
      </c>
      <c r="T78" s="34"/>
      <c r="U78" s="34"/>
      <c r="V78" s="34">
        <f>-VLOOKUP(Table2[[#This Row],[Home Team]],home_lookup,3,FALSE)-VLOOKUP(B78,lookup,2,FALSE)+VLOOKUP(C78,lookup,2,FALSE)</f>
        <v>-4.8530653628193221</v>
      </c>
      <c r="W78" s="16">
        <f t="shared" si="12"/>
        <v>8.8062500000000004</v>
      </c>
      <c r="X78" s="16">
        <f>Table2[[#This Row],[ERR (A)]]^2</f>
        <v>77.550039062500005</v>
      </c>
      <c r="Y78" s="16">
        <f t="shared" si="10"/>
        <v>7.8530653628193221</v>
      </c>
      <c r="Z78" s="16">
        <f>Table2[[#This Row],[ERR (B)]]^2</f>
        <v>61.670635592712571</v>
      </c>
      <c r="AA78" s="24">
        <f>Table2[[#This Row],[Pace (H)]]-Table2[[#This Row],[Pace (A)]]</f>
        <v>-3.1000000000000085</v>
      </c>
      <c r="AB78" s="15">
        <f>Table2[[#This Row],[Total EV]]-Table2[[#Totals],[Total EV]]</f>
        <v>5.736847975574122</v>
      </c>
      <c r="AC78" s="15">
        <f>Table2[[#This Row],[Total EV]]-Table2[[#This Row],[Total (V)]]</f>
        <v>7.6085577870617485</v>
      </c>
      <c r="AD78" s="15">
        <f>Table2[[#This Row],[Margin (V)]]-Table2[[#This Row],[EV (A)]]</f>
        <v>-0.19374999999999964</v>
      </c>
      <c r="AE78" s="9" t="b">
        <f>IF(VLOOKUP(Table2[[#This Row],[Home Team]],division_lookup,2,FALSE)=VLOOKUP(Table2[[#This Row],[Away Team]],division_lookup,2,FALSE),TRUE, FALSE)</f>
        <v>1</v>
      </c>
    </row>
    <row r="79" spans="1:31" x14ac:dyDescent="0.25">
      <c r="A79">
        <v>6</v>
      </c>
      <c r="B79" t="s">
        <v>18</v>
      </c>
      <c r="C79" t="s">
        <v>1</v>
      </c>
      <c r="D79">
        <v>21</v>
      </c>
      <c r="E79">
        <v>13</v>
      </c>
      <c r="F79" s="6">
        <f>VLOOKUP(Table2[[#This Row],[Home Team]],home_lookup,3,FALSE)+VLOOKUP(Table2[[#This Row],[Home Team]],off_pts_lookup,7,FALSE)+VLOOKUP(Table2[[#This Row],[Away Team]],def_diff_lookup,14,FALSE)</f>
        <v>28.509644472094017</v>
      </c>
      <c r="G79" s="6">
        <f>VLOOKUP(Table2[[#This Row],[Away Team]],off_pts_lookup,7,FALSE)+VLOOKUP(Table2[[#This Row],[Home Team]],def_diff_lookup,14,FALSE)</f>
        <v>28.827746212121209</v>
      </c>
      <c r="H79" s="3">
        <f>VLOOKUP(Table2[[#This Row],[Home Team]],pace_lookup,5,FALSE)</f>
        <v>66.400000000000006</v>
      </c>
      <c r="I79" s="3">
        <f>VLOOKUP(Table2[[#This Row],[Away Team]],pace_lookup,5,FALSE)</f>
        <v>64</v>
      </c>
      <c r="J79" s="13">
        <f t="shared" si="11"/>
        <v>34</v>
      </c>
      <c r="K79">
        <v>44.5</v>
      </c>
      <c r="N79" s="33">
        <f>Table2[[#This Row],[Home EV]]+Table2[[#This Row],[Away EV]]</f>
        <v>57.337390684215222</v>
      </c>
      <c r="O79" s="13">
        <f t="shared" si="9"/>
        <v>-8</v>
      </c>
      <c r="P79">
        <v>3</v>
      </c>
      <c r="Q7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79" s="33">
        <v>3.83</v>
      </c>
      <c r="S79" s="33">
        <f t="shared" si="8"/>
        <v>-6.2499999999996447E-3</v>
      </c>
      <c r="T79" s="33"/>
      <c r="U79" s="33"/>
      <c r="V79" s="33">
        <f>-VLOOKUP(Table2[[#This Row],[Home Team]],home_lookup,3,FALSE)-VLOOKUP(B79,lookup,2,FALSE)+VLOOKUP(C79,lookup,2,FALSE)</f>
        <v>-0.38189825997280558</v>
      </c>
      <c r="W79" s="1">
        <f t="shared" si="12"/>
        <v>-7.9937500000000004</v>
      </c>
      <c r="X79" s="1">
        <f>Table2[[#This Row],[ERR (A)]]^2</f>
        <v>63.900039062500007</v>
      </c>
      <c r="Y79" s="1">
        <f t="shared" si="10"/>
        <v>-7.6181017400271944</v>
      </c>
      <c r="Z79" s="1">
        <f>Table2[[#This Row],[ERR (B)]]^2</f>
        <v>58.035474121405365</v>
      </c>
      <c r="AA79" s="18">
        <f>Table2[[#This Row],[Pace (H)]]-Table2[[#This Row],[Pace (A)]]</f>
        <v>2.4000000000000057</v>
      </c>
      <c r="AB79" s="19">
        <f>Table2[[#This Row],[Total EV]]-Table2[[#Totals],[Total EV]]</f>
        <v>8.4656808727275958</v>
      </c>
      <c r="AC79" s="19">
        <f>Table2[[#This Row],[Total EV]]-Table2[[#This Row],[Total (V)]]</f>
        <v>12.837390684215222</v>
      </c>
      <c r="AD79" s="3">
        <f>Table2[[#This Row],[Margin (V)]]-Table2[[#This Row],[EV (A)]]</f>
        <v>3.0062499999999996</v>
      </c>
      <c r="AE79" t="b">
        <f>IF(VLOOKUP(Table2[[#This Row],[Home Team]],division_lookup,2,FALSE)=VLOOKUP(Table2[[#This Row],[Away Team]],division_lookup,2,FALSE),TRUE, FALSE)</f>
        <v>1</v>
      </c>
    </row>
    <row r="80" spans="1:31" x14ac:dyDescent="0.25">
      <c r="A80">
        <v>6</v>
      </c>
      <c r="B80" t="s">
        <v>27</v>
      </c>
      <c r="C80" t="s">
        <v>7</v>
      </c>
      <c r="D80">
        <v>35</v>
      </c>
      <c r="E80">
        <v>17</v>
      </c>
      <c r="F80" s="6">
        <f>VLOOKUP(Table2[[#This Row],[Home Team]],home_lookup,3,FALSE)+VLOOKUP(Table2[[#This Row],[Home Team]],off_pts_lookup,7,FALSE)+VLOOKUP(Table2[[#This Row],[Away Team]],def_diff_lookup,14,FALSE)</f>
        <v>24.728349840877144</v>
      </c>
      <c r="G80" s="6">
        <f>VLOOKUP(Table2[[#This Row],[Away Team]],off_pts_lookup,7,FALSE)+VLOOKUP(Table2[[#This Row],[Home Team]],def_diff_lookup,14,FALSE)</f>
        <v>15.027746212121215</v>
      </c>
      <c r="H80" s="3">
        <f>VLOOKUP(Table2[[#This Row],[Home Team]],pace_lookup,5,FALSE)</f>
        <v>63.9</v>
      </c>
      <c r="I80" s="3">
        <f>VLOOKUP(Table2[[#This Row],[Away Team]],pace_lookup,5,FALSE)</f>
        <v>65.900000000000006</v>
      </c>
      <c r="J80" s="13">
        <f t="shared" si="11"/>
        <v>52</v>
      </c>
      <c r="K80">
        <v>48.5</v>
      </c>
      <c r="N80" s="33">
        <f>Table2[[#This Row],[Home EV]]+Table2[[#This Row],[Away EV]]</f>
        <v>39.756096052998359</v>
      </c>
      <c r="O80" s="13">
        <f t="shared" si="9"/>
        <v>-18</v>
      </c>
      <c r="P80">
        <v>-7.5</v>
      </c>
      <c r="Q8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80" s="33">
        <v>-8.4</v>
      </c>
      <c r="S80" s="33">
        <f t="shared" si="8"/>
        <v>-12.80625</v>
      </c>
      <c r="T80" s="33"/>
      <c r="U80" s="33"/>
      <c r="V80" s="33">
        <f>-VLOOKUP(Table2[[#This Row],[Home Team]],home_lookup,3,FALSE)-VLOOKUP(B80,lookup,2,FALSE)+VLOOKUP(C80,lookup,2,FALSE)</f>
        <v>-7.8006036287559297</v>
      </c>
      <c r="W80" s="1">
        <f t="shared" si="12"/>
        <v>-5.1937499999999996</v>
      </c>
      <c r="X80" s="1">
        <f>Table2[[#This Row],[ERR (A)]]^2</f>
        <v>26.975039062499995</v>
      </c>
      <c r="Y80" s="1">
        <f t="shared" si="10"/>
        <v>-10.19939637124407</v>
      </c>
      <c r="Z80" s="1">
        <f>Table2[[#This Row],[ERR (B)]]^2</f>
        <v>104.02768633774672</v>
      </c>
      <c r="AA80" s="18">
        <f>Table2[[#This Row],[Pace (H)]]-Table2[[#This Row],[Pace (A)]]</f>
        <v>-2.0000000000000071</v>
      </c>
      <c r="AB80" s="19">
        <f>Table2[[#This Row],[Total EV]]-Table2[[#Totals],[Total EV]]</f>
        <v>-9.1156137584892676</v>
      </c>
      <c r="AC80" s="19">
        <f>Table2[[#This Row],[Total EV]]-Table2[[#This Row],[Total (V)]]</f>
        <v>-8.7439039470016411</v>
      </c>
      <c r="AD80" s="3">
        <f>Table2[[#This Row],[Margin (V)]]-Table2[[#This Row],[EV (A)]]</f>
        <v>5.3062500000000004</v>
      </c>
      <c r="AE80" t="b">
        <f>IF(VLOOKUP(Table2[[#This Row],[Home Team]],division_lookup,2,FALSE)=VLOOKUP(Table2[[#This Row],[Away Team]],division_lookup,2,FALSE),TRUE, FALSE)</f>
        <v>0</v>
      </c>
    </row>
    <row r="81" spans="1:31" x14ac:dyDescent="0.25">
      <c r="A81">
        <v>6</v>
      </c>
      <c r="B81" t="s">
        <v>23</v>
      </c>
      <c r="C81" t="s">
        <v>32</v>
      </c>
      <c r="D81">
        <v>31</v>
      </c>
      <c r="E81">
        <v>28</v>
      </c>
      <c r="F81" s="6">
        <f>VLOOKUP(Table2[[#This Row],[Home Team]],home_lookup,3,FALSE)+VLOOKUP(Table2[[#This Row],[Home Team]],off_pts_lookup,7,FALSE)+VLOOKUP(Table2[[#This Row],[Away Team]],def_diff_lookup,14,FALSE)</f>
        <v>22.380805612513669</v>
      </c>
      <c r="G81" s="6">
        <f>VLOOKUP(Table2[[#This Row],[Away Team]],off_pts_lookup,7,FALSE)+VLOOKUP(Table2[[#This Row],[Home Team]],def_diff_lookup,14,FALSE)</f>
        <v>14.52774621212121</v>
      </c>
      <c r="H81" s="3">
        <f>VLOOKUP(Table2[[#This Row],[Home Team]],pace_lookup,5,FALSE)</f>
        <v>59.4</v>
      </c>
      <c r="I81" s="3">
        <f>VLOOKUP(Table2[[#This Row],[Away Team]],pace_lookup,5,FALSE)</f>
        <v>62.2</v>
      </c>
      <c r="J81" s="13">
        <f t="shared" si="11"/>
        <v>59</v>
      </c>
      <c r="K81">
        <v>44.5</v>
      </c>
      <c r="N81" s="33">
        <f>Table2[[#This Row],[Home EV]]+Table2[[#This Row],[Away EV]]</f>
        <v>36.908551824634877</v>
      </c>
      <c r="O81" s="13">
        <f t="shared" si="9"/>
        <v>-3</v>
      </c>
      <c r="P81">
        <v>-3</v>
      </c>
      <c r="Q8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81" s="33">
        <v>-7.54</v>
      </c>
      <c r="S81" s="33">
        <f t="shared" si="8"/>
        <v>-6.0062499999999996</v>
      </c>
      <c r="T81" s="33"/>
      <c r="U81" s="33"/>
      <c r="V81" s="33">
        <f>-VLOOKUP(Table2[[#This Row],[Home Team]],home_lookup,3,FALSE)-VLOOKUP(B81,lookup,2,FALSE)+VLOOKUP(C81,lookup,2,FALSE)</f>
        <v>-6.553059400392458</v>
      </c>
      <c r="W81" s="1">
        <f t="shared" si="12"/>
        <v>3.0062499999999996</v>
      </c>
      <c r="X81" s="1">
        <f>Table2[[#This Row],[ERR (A)]]^2</f>
        <v>9.0375390624999987</v>
      </c>
      <c r="Y81" s="1">
        <f t="shared" si="10"/>
        <v>3.553059400392458</v>
      </c>
      <c r="Z81" s="1">
        <f>Table2[[#This Row],[ERR (B)]]^2</f>
        <v>12.624231102717214</v>
      </c>
      <c r="AA81" s="18">
        <f>Table2[[#This Row],[Pace (H)]]-Table2[[#This Row],[Pace (A)]]</f>
        <v>-2.8000000000000043</v>
      </c>
      <c r="AB81" s="19">
        <f>Table2[[#This Row],[Total EV]]-Table2[[#Totals],[Total EV]]</f>
        <v>-11.96315798685275</v>
      </c>
      <c r="AC81" s="19">
        <f>Table2[[#This Row],[Total EV]]-Table2[[#This Row],[Total (V)]]</f>
        <v>-7.5914481753651231</v>
      </c>
      <c r="AD81" s="3">
        <f>Table2[[#This Row],[Margin (V)]]-Table2[[#This Row],[EV (A)]]</f>
        <v>3.0062499999999996</v>
      </c>
      <c r="AE81" t="b">
        <f>IF(VLOOKUP(Table2[[#This Row],[Home Team]],division_lookup,2,FALSE)=VLOOKUP(Table2[[#This Row],[Away Team]],division_lookup,2,FALSE),TRUE, FALSE)</f>
        <v>0</v>
      </c>
    </row>
    <row r="82" spans="1:31" x14ac:dyDescent="0.25">
      <c r="A82">
        <v>6</v>
      </c>
      <c r="B82" t="s">
        <v>6</v>
      </c>
      <c r="C82" t="s">
        <v>31</v>
      </c>
      <c r="D82">
        <v>45</v>
      </c>
      <c r="E82">
        <v>16</v>
      </c>
      <c r="F82" s="6">
        <f>VLOOKUP(Table2[[#This Row],[Home Team]],home_lookup,3,FALSE)+VLOOKUP(Table2[[#This Row],[Home Team]],off_pts_lookup,7,FALSE)+VLOOKUP(Table2[[#This Row],[Away Team]],def_diff_lookup,14,FALSE)</f>
        <v>33.587084482675607</v>
      </c>
      <c r="G82" s="6">
        <f>VLOOKUP(Table2[[#This Row],[Away Team]],off_pts_lookup,7,FALSE)+VLOOKUP(Table2[[#This Row],[Home Team]],def_diff_lookup,14,FALSE)</f>
        <v>19.027746212121212</v>
      </c>
      <c r="H82" s="3">
        <f>VLOOKUP(Table2[[#This Row],[Home Team]],pace_lookup,5,FALSE)</f>
        <v>62.5</v>
      </c>
      <c r="I82" s="3">
        <f>VLOOKUP(Table2[[#This Row],[Away Team]],pace_lookup,5,FALSE)</f>
        <v>63</v>
      </c>
      <c r="J82" s="13">
        <f t="shared" si="11"/>
        <v>61</v>
      </c>
      <c r="K82">
        <v>44</v>
      </c>
      <c r="N82" s="33">
        <f>Table2[[#This Row],[Home EV]]+Table2[[#This Row],[Away EV]]</f>
        <v>52.614830694796822</v>
      </c>
      <c r="O82" s="13">
        <f t="shared" si="9"/>
        <v>-29</v>
      </c>
      <c r="P82">
        <v>-7.5</v>
      </c>
      <c r="Q8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82" s="33">
        <v>-9.52</v>
      </c>
      <c r="S82" s="33">
        <f t="shared" si="8"/>
        <v>-16.806249999999999</v>
      </c>
      <c r="T82" s="33"/>
      <c r="U82" s="33"/>
      <c r="V82" s="33">
        <f>-VLOOKUP(Table2[[#This Row],[Home Team]],home_lookup,3,FALSE)-VLOOKUP(B82,lookup,2,FALSE)+VLOOKUP(C82,lookup,2,FALSE)</f>
        <v>-13.759338270554402</v>
      </c>
      <c r="W82" s="1">
        <f t="shared" si="12"/>
        <v>-12.193750000000001</v>
      </c>
      <c r="X82" s="1">
        <f>Table2[[#This Row],[ERR (A)]]^2</f>
        <v>148.68753906250004</v>
      </c>
      <c r="Y82" s="1">
        <f t="shared" si="10"/>
        <v>-15.240661729445598</v>
      </c>
      <c r="Z82" s="1">
        <f>Table2[[#This Row],[ERR (B)]]^2</f>
        <v>232.27776995138771</v>
      </c>
      <c r="AA82" s="18">
        <f>Table2[[#This Row],[Pace (H)]]-Table2[[#This Row],[Pace (A)]]</f>
        <v>-0.5</v>
      </c>
      <c r="AB82" s="19">
        <f>Table2[[#This Row],[Total EV]]-Table2[[#Totals],[Total EV]]</f>
        <v>3.7431208833091958</v>
      </c>
      <c r="AC82" s="19">
        <f>Table2[[#This Row],[Total EV]]-Table2[[#This Row],[Total (V)]]</f>
        <v>8.6148306947968223</v>
      </c>
      <c r="AD82" s="3">
        <f>Table2[[#This Row],[Margin (V)]]-Table2[[#This Row],[EV (A)]]</f>
        <v>9.3062499999999986</v>
      </c>
      <c r="AE82" t="b">
        <f>IF(VLOOKUP(Table2[[#This Row],[Home Team]],division_lookup,2,FALSE)=VLOOKUP(Table2[[#This Row],[Away Team]],division_lookup,2,FALSE),TRUE, FALSE)</f>
        <v>0</v>
      </c>
    </row>
    <row r="83" spans="1:31" x14ac:dyDescent="0.25">
      <c r="A83">
        <v>6</v>
      </c>
      <c r="B83" t="s">
        <v>25</v>
      </c>
      <c r="C83" t="s">
        <v>5</v>
      </c>
      <c r="D83">
        <v>27</v>
      </c>
      <c r="E83">
        <v>23</v>
      </c>
      <c r="F83" s="6">
        <f>VLOOKUP(Table2[[#This Row],[Home Team]],home_lookup,3,FALSE)+VLOOKUP(Table2[[#This Row],[Home Team]],off_pts_lookup,7,FALSE)+VLOOKUP(Table2[[#This Row],[Away Team]],def_diff_lookup,14,FALSE)</f>
        <v>19.370875024346322</v>
      </c>
      <c r="G83" s="6">
        <f>VLOOKUP(Table2[[#This Row],[Away Team]],off_pts_lookup,7,FALSE)+VLOOKUP(Table2[[#This Row],[Home Team]],def_diff_lookup,14,FALSE)</f>
        <v>17.027746212121212</v>
      </c>
      <c r="H83" s="3">
        <f>VLOOKUP(Table2[[#This Row],[Home Team]],pace_lookup,5,FALSE)</f>
        <v>62.6</v>
      </c>
      <c r="I83" s="3">
        <f>VLOOKUP(Table2[[#This Row],[Away Team]],pace_lookup,5,FALSE)</f>
        <v>67.400000000000006</v>
      </c>
      <c r="J83" s="13">
        <f t="shared" si="11"/>
        <v>50</v>
      </c>
      <c r="K83">
        <v>42.5</v>
      </c>
      <c r="N83" s="33">
        <f>Table2[[#This Row],[Home EV]]+Table2[[#This Row],[Away EV]]</f>
        <v>36.398621236467534</v>
      </c>
      <c r="O83" s="13">
        <f t="shared" si="9"/>
        <v>-4</v>
      </c>
      <c r="P83">
        <v>-3.5</v>
      </c>
      <c r="Q8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83" s="33">
        <v>-4.9000000000000004</v>
      </c>
      <c r="S83" s="33">
        <f t="shared" si="8"/>
        <v>-4.1062500000000002</v>
      </c>
      <c r="T83" s="33"/>
      <c r="U83" s="33"/>
      <c r="V83" s="33">
        <f>-VLOOKUP(Table2[[#This Row],[Home Team]],home_lookup,3,FALSE)-VLOOKUP(B83,lookup,2,FALSE)+VLOOKUP(C83,lookup,2,FALSE)</f>
        <v>-4.3431288122251077</v>
      </c>
      <c r="W83" s="1">
        <f t="shared" si="12"/>
        <v>0.10625000000000018</v>
      </c>
      <c r="X83" s="1">
        <f>Table2[[#This Row],[ERR (A)]]^2</f>
        <v>1.1289062500000037E-2</v>
      </c>
      <c r="Y83" s="1">
        <f t="shared" si="10"/>
        <v>0.34312881222510772</v>
      </c>
      <c r="Z83" s="1">
        <f>Table2[[#This Row],[ERR (B)]]^2</f>
        <v>0.11773738177901323</v>
      </c>
      <c r="AA83" s="18">
        <f>Table2[[#This Row],[Pace (H)]]-Table2[[#This Row],[Pace (A)]]</f>
        <v>-4.8000000000000043</v>
      </c>
      <c r="AB83" s="19">
        <f>Table2[[#This Row],[Total EV]]-Table2[[#Totals],[Total EV]]</f>
        <v>-12.473088575020093</v>
      </c>
      <c r="AC83" s="19">
        <f>Table2[[#This Row],[Total EV]]-Table2[[#This Row],[Total (V)]]</f>
        <v>-6.1013787635324661</v>
      </c>
      <c r="AD83" s="3">
        <f>Table2[[#This Row],[Margin (V)]]-Table2[[#This Row],[EV (A)]]</f>
        <v>0.60625000000000018</v>
      </c>
      <c r="AE83" t="b">
        <f>IF(VLOOKUP(Table2[[#This Row],[Home Team]],division_lookup,2,FALSE)=VLOOKUP(Table2[[#This Row],[Away Team]],division_lookup,2,FALSE),TRUE, FALSE)</f>
        <v>0</v>
      </c>
    </row>
    <row r="84" spans="1:31" x14ac:dyDescent="0.25">
      <c r="A84">
        <v>6</v>
      </c>
      <c r="B84" t="s">
        <v>22</v>
      </c>
      <c r="C84" t="s">
        <v>29</v>
      </c>
      <c r="D84">
        <v>30</v>
      </c>
      <c r="E84">
        <v>15</v>
      </c>
      <c r="F84" s="6">
        <f>VLOOKUP(Table2[[#This Row],[Home Team]],home_lookup,3,FALSE)+VLOOKUP(Table2[[#This Row],[Home Team]],off_pts_lookup,7,FALSE)+VLOOKUP(Table2[[#This Row],[Away Team]],def_diff_lookup,14,FALSE)</f>
        <v>26.591552914198218</v>
      </c>
      <c r="G84" s="6">
        <f>VLOOKUP(Table2[[#This Row],[Away Team]],off_pts_lookup,7,FALSE)+VLOOKUP(Table2[[#This Row],[Home Team]],def_diff_lookup,14,FALSE)</f>
        <v>22.527746212121212</v>
      </c>
      <c r="H84" s="3">
        <f>VLOOKUP(Table2[[#This Row],[Home Team]],pace_lookup,5,FALSE)</f>
        <v>56.9</v>
      </c>
      <c r="I84" s="3">
        <f>VLOOKUP(Table2[[#This Row],[Away Team]],pace_lookup,5,FALSE)</f>
        <v>64.400000000000006</v>
      </c>
      <c r="J84" s="13">
        <f t="shared" si="11"/>
        <v>45</v>
      </c>
      <c r="K84">
        <v>49.5</v>
      </c>
      <c r="N84" s="33">
        <f>Table2[[#This Row],[Home EV]]+Table2[[#This Row],[Away EV]]</f>
        <v>49.119299126319433</v>
      </c>
      <c r="O84" s="13">
        <f t="shared" si="9"/>
        <v>-15</v>
      </c>
      <c r="P84">
        <v>7.5</v>
      </c>
      <c r="Q8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84" s="33">
        <v>8.08</v>
      </c>
      <c r="S84" s="33">
        <f t="shared" si="8"/>
        <v>-6.2500000000000888E-3</v>
      </c>
      <c r="T84" s="33"/>
      <c r="U84" s="33"/>
      <c r="V84" s="33">
        <f>-VLOOKUP(Table2[[#This Row],[Home Team]],home_lookup,3,FALSE)-VLOOKUP(B84,lookup,2,FALSE)+VLOOKUP(C84,lookup,2,FALSE)</f>
        <v>-3.2638067020770083</v>
      </c>
      <c r="W84" s="1">
        <f t="shared" si="12"/>
        <v>-14.99375</v>
      </c>
      <c r="X84" s="1">
        <f>Table2[[#This Row],[ERR (A)]]^2</f>
        <v>224.81253906250001</v>
      </c>
      <c r="Y84" s="1">
        <f t="shared" si="10"/>
        <v>-11.736193297922991</v>
      </c>
      <c r="Z84" s="1">
        <f>Table2[[#This Row],[ERR (B)]]^2</f>
        <v>137.73823312621255</v>
      </c>
      <c r="AA84" s="18">
        <f>Table2[[#This Row],[Pace (H)]]-Table2[[#This Row],[Pace (A)]]</f>
        <v>-7.5000000000000071</v>
      </c>
      <c r="AB84" s="19">
        <f>Table2[[#This Row],[Total EV]]-Table2[[#Totals],[Total EV]]</f>
        <v>0.24758931483180646</v>
      </c>
      <c r="AC84" s="19">
        <f>Table2[[#This Row],[Total EV]]-Table2[[#This Row],[Total (V)]]</f>
        <v>-0.38070087368056704</v>
      </c>
      <c r="AD84" s="3">
        <f>Table2[[#This Row],[Margin (V)]]-Table2[[#This Row],[EV (A)]]</f>
        <v>7.5062499999999996</v>
      </c>
      <c r="AE84" t="b">
        <f>IF(VLOOKUP(Table2[[#This Row],[Home Team]],division_lookup,2,FALSE)=VLOOKUP(Table2[[#This Row],[Away Team]],division_lookup,2,FALSE),TRUE, FALSE)</f>
        <v>0</v>
      </c>
    </row>
    <row r="85" spans="1:31" x14ac:dyDescent="0.25">
      <c r="A85">
        <v>6</v>
      </c>
      <c r="B85" t="s">
        <v>10</v>
      </c>
      <c r="C85" t="s">
        <v>4</v>
      </c>
      <c r="D85">
        <v>16</v>
      </c>
      <c r="E85">
        <v>17</v>
      </c>
      <c r="F85" s="6">
        <f>VLOOKUP(Table2[[#This Row],[Home Team]],home_lookup,3,FALSE)+VLOOKUP(Table2[[#This Row],[Home Team]],off_pts_lookup,7,FALSE)+VLOOKUP(Table2[[#This Row],[Away Team]],def_diff_lookup,14,FALSE)</f>
        <v>26.956745113923152</v>
      </c>
      <c r="G85" s="6">
        <f>VLOOKUP(Table2[[#This Row],[Away Team]],off_pts_lookup,7,FALSE)+VLOOKUP(Table2[[#This Row],[Home Team]],def_diff_lookup,14,FALSE)</f>
        <v>20.127746212121206</v>
      </c>
      <c r="H85" s="3">
        <f>VLOOKUP(Table2[[#This Row],[Home Team]],pace_lookup,5,FALSE)</f>
        <v>59.3</v>
      </c>
      <c r="I85" s="3">
        <f>VLOOKUP(Table2[[#This Row],[Away Team]],pace_lookup,5,FALSE)</f>
        <v>65.099999999999994</v>
      </c>
      <c r="J85" s="13">
        <f t="shared" si="11"/>
        <v>33</v>
      </c>
      <c r="K85">
        <v>46</v>
      </c>
      <c r="N85" s="33">
        <f>Table2[[#This Row],[Home EV]]+Table2[[#This Row],[Away EV]]</f>
        <v>47.084491326044358</v>
      </c>
      <c r="O85" s="13">
        <f t="shared" si="9"/>
        <v>1</v>
      </c>
      <c r="P85">
        <v>-2.5</v>
      </c>
      <c r="Q8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85" s="33">
        <v>-6.28</v>
      </c>
      <c r="S85" s="33">
        <f t="shared" si="8"/>
        <v>-3.2062499999999989</v>
      </c>
      <c r="T85" s="33"/>
      <c r="U85" s="33"/>
      <c r="V85" s="33">
        <f>-VLOOKUP(Table2[[#This Row],[Home Team]],home_lookup,3,FALSE)-VLOOKUP(B85,lookup,2,FALSE)+VLOOKUP(C85,lookup,2,FALSE)</f>
        <v>-7.9289989018019345</v>
      </c>
      <c r="W85" s="1">
        <f t="shared" si="12"/>
        <v>4.2062499999999989</v>
      </c>
      <c r="X85" s="1">
        <f>Table2[[#This Row],[ERR (A)]]^2</f>
        <v>17.692539062499993</v>
      </c>
      <c r="Y85" s="1">
        <f t="shared" si="10"/>
        <v>8.9289989018019345</v>
      </c>
      <c r="Z85" s="1">
        <f>Table2[[#This Row],[ERR (B)]]^2</f>
        <v>79.727021388380152</v>
      </c>
      <c r="AA85" s="18">
        <f>Table2[[#This Row],[Pace (H)]]-Table2[[#This Row],[Pace (A)]]</f>
        <v>-5.7999999999999972</v>
      </c>
      <c r="AB85" s="19">
        <f>Table2[[#This Row],[Total EV]]-Table2[[#Totals],[Total EV]]</f>
        <v>-1.7872184854432689</v>
      </c>
      <c r="AC85" s="19">
        <f>Table2[[#This Row],[Total EV]]-Table2[[#This Row],[Total (V)]]</f>
        <v>1.0844913260443576</v>
      </c>
      <c r="AD85" s="3">
        <f>Table2[[#This Row],[Margin (V)]]-Table2[[#This Row],[EV (A)]]</f>
        <v>0.70624999999999893</v>
      </c>
      <c r="AE85" t="b">
        <f>IF(VLOOKUP(Table2[[#This Row],[Home Team]],division_lookup,2,FALSE)=VLOOKUP(Table2[[#This Row],[Away Team]],division_lookup,2,FALSE),TRUE, FALSE)</f>
        <v>0</v>
      </c>
    </row>
    <row r="86" spans="1:31" x14ac:dyDescent="0.25">
      <c r="A86">
        <v>6</v>
      </c>
      <c r="B86" t="s">
        <v>12</v>
      </c>
      <c r="C86" t="s">
        <v>14</v>
      </c>
      <c r="D86">
        <v>28</v>
      </c>
      <c r="E86">
        <v>26</v>
      </c>
      <c r="F86" s="6">
        <f>VLOOKUP(Table2[[#This Row],[Home Team]],home_lookup,3,FALSE)+VLOOKUP(Table2[[#This Row],[Home Team]],off_pts_lookup,7,FALSE)+VLOOKUP(Table2[[#This Row],[Away Team]],def_diff_lookup,14,FALSE)</f>
        <v>32.748475913670312</v>
      </c>
      <c r="G86" s="6">
        <f>VLOOKUP(Table2[[#This Row],[Away Team]],off_pts_lookup,7,FALSE)+VLOOKUP(Table2[[#This Row],[Home Team]],def_diff_lookup,14,FALSE)</f>
        <v>18.855018939393936</v>
      </c>
      <c r="H86" s="3">
        <f>VLOOKUP(Table2[[#This Row],[Home Team]],pace_lookup,5,FALSE)</f>
        <v>63.909090909090907</v>
      </c>
      <c r="I86" s="3">
        <f>VLOOKUP(Table2[[#This Row],[Away Team]],pace_lookup,5,FALSE)</f>
        <v>60.090909090909093</v>
      </c>
      <c r="J86" s="13">
        <f t="shared" si="11"/>
        <v>54</v>
      </c>
      <c r="K86">
        <v>45</v>
      </c>
      <c r="N86" s="33">
        <f>Table2[[#This Row],[Home EV]]+Table2[[#This Row],[Away EV]]</f>
        <v>51.603494853064248</v>
      </c>
      <c r="O86" s="13">
        <f t="shared" si="9"/>
        <v>-2</v>
      </c>
      <c r="P86">
        <v>-7.5</v>
      </c>
      <c r="Q8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86" s="33">
        <v>-5.98</v>
      </c>
      <c r="S86" s="33">
        <f t="shared" si="8"/>
        <v>-12.00625</v>
      </c>
      <c r="T86" s="33"/>
      <c r="U86" s="33"/>
      <c r="V86" s="33">
        <f>-VLOOKUP(Table2[[#This Row],[Home Team]],home_lookup,3,FALSE)-VLOOKUP(B86,lookup,2,FALSE)+VLOOKUP(C86,lookup,2,FALSE)</f>
        <v>-9.6298206106400173</v>
      </c>
      <c r="W86" s="1">
        <f t="shared" si="12"/>
        <v>10.00625</v>
      </c>
      <c r="X86" s="1">
        <f>Table2[[#This Row],[ERR (A)]]^2</f>
        <v>100.12503906249999</v>
      </c>
      <c r="Y86" s="1">
        <f t="shared" si="10"/>
        <v>7.6298206106400173</v>
      </c>
      <c r="Z86" s="1">
        <f>Table2[[#This Row],[ERR (B)]]^2</f>
        <v>58.214162550547208</v>
      </c>
      <c r="AA86" s="18">
        <f>Table2[[#This Row],[Pace (H)]]-Table2[[#This Row],[Pace (A)]]</f>
        <v>3.818181818181813</v>
      </c>
      <c r="AB86" s="19">
        <f>Table2[[#This Row],[Total EV]]-Table2[[#Totals],[Total EV]]</f>
        <v>2.7317850415766216</v>
      </c>
      <c r="AC86" s="19">
        <f>Table2[[#This Row],[Total EV]]-Table2[[#This Row],[Total (V)]]</f>
        <v>6.6034948530642481</v>
      </c>
      <c r="AD86" s="3">
        <f>Table2[[#This Row],[Margin (V)]]-Table2[[#This Row],[EV (A)]]</f>
        <v>4.5062499999999996</v>
      </c>
      <c r="AE86" t="b">
        <f>IF(VLOOKUP(Table2[[#This Row],[Home Team]],division_lookup,2,FALSE)=VLOOKUP(Table2[[#This Row],[Away Team]],division_lookup,2,FALSE),TRUE, FALSE)</f>
        <v>0</v>
      </c>
    </row>
    <row r="87" spans="1:31" x14ac:dyDescent="0.25">
      <c r="A87">
        <v>6</v>
      </c>
      <c r="B87" t="s">
        <v>30</v>
      </c>
      <c r="C87" t="s">
        <v>13</v>
      </c>
      <c r="D87">
        <v>27</v>
      </c>
      <c r="E87">
        <v>20</v>
      </c>
      <c r="F87" s="6">
        <f>VLOOKUP(Table2[[#This Row],[Home Team]],home_lookup,3,FALSE)+VLOOKUP(Table2[[#This Row],[Home Team]],off_pts_lookup,7,FALSE)+VLOOKUP(Table2[[#This Row],[Away Team]],def_diff_lookup,14,FALSE)</f>
        <v>21.846488992114907</v>
      </c>
      <c r="G87" s="6">
        <f>VLOOKUP(Table2[[#This Row],[Away Team]],off_pts_lookup,7,FALSE)+VLOOKUP(Table2[[#This Row],[Home Team]],def_diff_lookup,14,FALSE)</f>
        <v>24.527746212121212</v>
      </c>
      <c r="H87" s="3">
        <f>VLOOKUP(Table2[[#This Row],[Home Team]],pace_lookup,5,FALSE)</f>
        <v>65.5</v>
      </c>
      <c r="I87" s="3">
        <f>VLOOKUP(Table2[[#This Row],[Away Team]],pace_lookup,5,FALSE)</f>
        <v>65.5</v>
      </c>
      <c r="J87" s="13">
        <f t="shared" si="11"/>
        <v>47</v>
      </c>
      <c r="K87">
        <v>45</v>
      </c>
      <c r="N87" s="33">
        <f>Table2[[#This Row],[Home EV]]+Table2[[#This Row],[Away EV]]</f>
        <v>46.374235204236115</v>
      </c>
      <c r="O87" s="13">
        <f t="shared" si="9"/>
        <v>-7</v>
      </c>
      <c r="P87">
        <v>3</v>
      </c>
      <c r="Q8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87" s="33">
        <v>12.81</v>
      </c>
      <c r="S87" s="33">
        <f t="shared" si="8"/>
        <v>3.8937500000000003</v>
      </c>
      <c r="T87" s="33"/>
      <c r="U87" s="33"/>
      <c r="V87" s="33">
        <f>-VLOOKUP(Table2[[#This Row],[Home Team]],home_lookup,3,FALSE)-VLOOKUP(B87,lookup,2,FALSE)+VLOOKUP(C87,lookup,2,FALSE)</f>
        <v>6.0812572200063029</v>
      </c>
      <c r="W87" s="1">
        <f t="shared" si="12"/>
        <v>-10.893750000000001</v>
      </c>
      <c r="X87" s="1">
        <f>Table2[[#This Row],[ERR (A)]]^2</f>
        <v>118.67378906250002</v>
      </c>
      <c r="Y87" s="1">
        <f t="shared" si="10"/>
        <v>-13.081257220006304</v>
      </c>
      <c r="Z87" s="1">
        <f>Table2[[#This Row],[ERR (B)]]^2</f>
        <v>171.11929045596705</v>
      </c>
      <c r="AA87" s="18">
        <f>Table2[[#This Row],[Pace (H)]]-Table2[[#This Row],[Pace (A)]]</f>
        <v>0</v>
      </c>
      <c r="AB87" s="19">
        <f>Table2[[#This Row],[Total EV]]-Table2[[#Totals],[Total EV]]</f>
        <v>-2.4974746072515117</v>
      </c>
      <c r="AC87" s="19">
        <f>Table2[[#This Row],[Total EV]]-Table2[[#This Row],[Total (V)]]</f>
        <v>1.3742352042361148</v>
      </c>
      <c r="AD87" s="3">
        <f>Table2[[#This Row],[Margin (V)]]-Table2[[#This Row],[EV (A)]]</f>
        <v>-0.89375000000000027</v>
      </c>
      <c r="AE87" t="b">
        <f>IF(VLOOKUP(Table2[[#This Row],[Home Team]],division_lookup,2,FALSE)=VLOOKUP(Table2[[#This Row],[Away Team]],division_lookup,2,FALSE),TRUE, FALSE)</f>
        <v>1</v>
      </c>
    </row>
    <row r="88" spans="1:31" x14ac:dyDescent="0.25">
      <c r="A88">
        <v>6</v>
      </c>
      <c r="B88" t="s">
        <v>16</v>
      </c>
      <c r="C88" t="s">
        <v>2</v>
      </c>
      <c r="D88">
        <v>41</v>
      </c>
      <c r="E88">
        <v>38</v>
      </c>
      <c r="F88" s="6">
        <f>VLOOKUP(Table2[[#This Row],[Home Team]],home_lookup,3,FALSE)+VLOOKUP(Table2[[#This Row],[Home Team]],off_pts_lookup,7,FALSE)+VLOOKUP(Table2[[#This Row],[Away Team]],def_diff_lookup,14,FALSE)</f>
        <v>30.926063901248476</v>
      </c>
      <c r="G88" s="6">
        <f>VLOOKUP(Table2[[#This Row],[Away Team]],off_pts_lookup,7,FALSE)+VLOOKUP(Table2[[#This Row],[Home Team]],def_diff_lookup,14,FALSE)</f>
        <v>30.12774621212121</v>
      </c>
      <c r="H88" s="3">
        <f>VLOOKUP(Table2[[#This Row],[Home Team]],pace_lookup,5,FALSE)</f>
        <v>69.400000000000006</v>
      </c>
      <c r="I88" s="3">
        <f>VLOOKUP(Table2[[#This Row],[Away Team]],pace_lookup,5,FALSE)</f>
        <v>66.8</v>
      </c>
      <c r="J88" s="13">
        <f t="shared" si="11"/>
        <v>79</v>
      </c>
      <c r="K88">
        <v>54</v>
      </c>
      <c r="N88" s="33">
        <f>Table2[[#This Row],[Home EV]]+Table2[[#This Row],[Away EV]]</f>
        <v>61.053810113369686</v>
      </c>
      <c r="O88" s="13">
        <f t="shared" si="9"/>
        <v>-3</v>
      </c>
      <c r="P88">
        <v>3</v>
      </c>
      <c r="Q8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88" s="33">
        <v>-1.24</v>
      </c>
      <c r="S88" s="33">
        <f t="shared" si="8"/>
        <v>-4.6062500000000002</v>
      </c>
      <c r="T88" s="33"/>
      <c r="U88" s="33"/>
      <c r="V88" s="33">
        <f>-VLOOKUP(Table2[[#This Row],[Home Team]],home_lookup,3,FALSE)-VLOOKUP(B88,lookup,2,FALSE)+VLOOKUP(C88,lookup,2,FALSE)</f>
        <v>-2.3983176891272633</v>
      </c>
      <c r="W88" s="1">
        <f t="shared" si="12"/>
        <v>1.6062500000000002</v>
      </c>
      <c r="X88" s="1">
        <f>Table2[[#This Row],[ERR (A)]]^2</f>
        <v>2.5800390625000005</v>
      </c>
      <c r="Y88" s="1">
        <f t="shared" si="10"/>
        <v>-0.60168231087273671</v>
      </c>
      <c r="Z88" s="1">
        <f>Table2[[#This Row],[ERR (B)]]^2</f>
        <v>0.3620216032171566</v>
      </c>
      <c r="AA88" s="18">
        <f>Table2[[#This Row],[Pace (H)]]-Table2[[#This Row],[Pace (A)]]</f>
        <v>2.6000000000000085</v>
      </c>
      <c r="AB88" s="19">
        <f>Table2[[#This Row],[Total EV]]-Table2[[#Totals],[Total EV]]</f>
        <v>12.182100301882059</v>
      </c>
      <c r="AC88" s="19">
        <f>Table2[[#This Row],[Total EV]]-Table2[[#This Row],[Total (V)]]</f>
        <v>7.0538101133696856</v>
      </c>
      <c r="AD88" s="3">
        <f>Table2[[#This Row],[Margin (V)]]-Table2[[#This Row],[EV (A)]]</f>
        <v>7.6062500000000002</v>
      </c>
      <c r="AE88" t="b">
        <f>IF(VLOOKUP(Table2[[#This Row],[Home Team]],division_lookup,2,FALSE)=VLOOKUP(Table2[[#This Row],[Away Team]],division_lookup,2,FALSE),TRUE, FALSE)</f>
        <v>1</v>
      </c>
    </row>
    <row r="89" spans="1:31" x14ac:dyDescent="0.25">
      <c r="A89">
        <v>6</v>
      </c>
      <c r="B89" t="s">
        <v>15</v>
      </c>
      <c r="C89" t="s">
        <v>17</v>
      </c>
      <c r="D89">
        <v>10</v>
      </c>
      <c r="E89">
        <v>26</v>
      </c>
      <c r="F89" s="6">
        <f>VLOOKUP(Table2[[#This Row],[Home Team]],home_lookup,3,FALSE)+VLOOKUP(Table2[[#This Row],[Home Team]],off_pts_lookup,7,FALSE)+VLOOKUP(Table2[[#This Row],[Away Team]],def_diff_lookup,14,FALSE)</f>
        <v>21.477082137443663</v>
      </c>
      <c r="G89" s="6">
        <f>VLOOKUP(Table2[[#This Row],[Away Team]],off_pts_lookup,7,FALSE)+VLOOKUP(Table2[[#This Row],[Home Team]],def_diff_lookup,14,FALSE)</f>
        <v>24.105523989898987</v>
      </c>
      <c r="H89" s="3">
        <f>VLOOKUP(Table2[[#This Row],[Home Team]],pace_lookup,5,FALSE)</f>
        <v>67</v>
      </c>
      <c r="I89" s="3">
        <f>VLOOKUP(Table2[[#This Row],[Away Team]],pace_lookup,5,FALSE)</f>
        <v>62.1</v>
      </c>
      <c r="J89" s="13">
        <f t="shared" si="11"/>
        <v>36</v>
      </c>
      <c r="K89">
        <v>47</v>
      </c>
      <c r="N89" s="33">
        <f>Table2[[#This Row],[Home EV]]+Table2[[#This Row],[Away EV]]</f>
        <v>45.58260612734265</v>
      </c>
      <c r="O89" s="13">
        <f t="shared" si="9"/>
        <v>16</v>
      </c>
      <c r="P89">
        <v>2</v>
      </c>
      <c r="Q8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89" s="33">
        <v>-6.64</v>
      </c>
      <c r="S89" s="33">
        <f t="shared" si="8"/>
        <v>-3.1062499999999997</v>
      </c>
      <c r="T89" s="33"/>
      <c r="U89" s="33"/>
      <c r="V89" s="33">
        <f>-VLOOKUP(Table2[[#This Row],[Home Team]],home_lookup,3,FALSE)-VLOOKUP(B89,lookup,2,FALSE)+VLOOKUP(C89,lookup,2,FALSE)</f>
        <v>1.3728862968997675</v>
      </c>
      <c r="W89" s="1">
        <f t="shared" si="12"/>
        <v>19.106249999999999</v>
      </c>
      <c r="X89" s="1">
        <f>Table2[[#This Row],[ERR (A)]]^2</f>
        <v>365.04878906249996</v>
      </c>
      <c r="Y89" s="1">
        <f t="shared" si="10"/>
        <v>14.627113703100232</v>
      </c>
      <c r="Z89" s="1">
        <f>Table2[[#This Row],[ERR (B)]]^2</f>
        <v>213.95245528342258</v>
      </c>
      <c r="AA89" s="18">
        <f>Table2[[#This Row],[Pace (H)]]-Table2[[#This Row],[Pace (A)]]</f>
        <v>4.8999999999999986</v>
      </c>
      <c r="AB89" s="19">
        <f>Table2[[#This Row],[Total EV]]-Table2[[#Totals],[Total EV]]</f>
        <v>-3.2891036841449761</v>
      </c>
      <c r="AC89" s="19">
        <f>Table2[[#This Row],[Total EV]]-Table2[[#This Row],[Total (V)]]</f>
        <v>-1.4173938726573496</v>
      </c>
      <c r="AD89" s="3">
        <f>Table2[[#This Row],[Margin (V)]]-Table2[[#This Row],[EV (A)]]</f>
        <v>5.1062499999999993</v>
      </c>
      <c r="AE89" t="b">
        <f>IF(VLOOKUP(Table2[[#This Row],[Home Team]],division_lookup,2,FALSE)=VLOOKUP(Table2[[#This Row],[Away Team]],division_lookup,2,FALSE),TRUE, FALSE)</f>
        <v>1</v>
      </c>
    </row>
    <row r="90" spans="1:31" x14ac:dyDescent="0.25">
      <c r="A90">
        <v>6</v>
      </c>
      <c r="B90" t="s">
        <v>3</v>
      </c>
      <c r="C90" t="s">
        <v>26</v>
      </c>
      <c r="D90">
        <v>16</v>
      </c>
      <c r="E90">
        <v>30</v>
      </c>
      <c r="F90" s="6">
        <f>VLOOKUP(Table2[[#This Row],[Home Team]],home_lookup,3,FALSE)+VLOOKUP(Table2[[#This Row],[Home Team]],off_pts_lookup,7,FALSE)+VLOOKUP(Table2[[#This Row],[Away Team]],def_diff_lookup,14,FALSE)</f>
        <v>24.130542379597458</v>
      </c>
      <c r="G90" s="6">
        <f>VLOOKUP(Table2[[#This Row],[Away Team]],off_pts_lookup,7,FALSE)+VLOOKUP(Table2[[#This Row],[Home Team]],def_diff_lookup,14,FALSE)</f>
        <v>33.227746212121211</v>
      </c>
      <c r="H90" s="3">
        <f>VLOOKUP(Table2[[#This Row],[Home Team]],pace_lookup,5,FALSE)</f>
        <v>66.2</v>
      </c>
      <c r="I90" s="3">
        <f>VLOOKUP(Table2[[#This Row],[Away Team]],pace_lookup,5,FALSE)</f>
        <v>66.5</v>
      </c>
      <c r="J90" s="13">
        <f t="shared" si="11"/>
        <v>46</v>
      </c>
      <c r="K90">
        <v>47</v>
      </c>
      <c r="N90" s="33">
        <f>Table2[[#This Row],[Home EV]]+Table2[[#This Row],[Away EV]]</f>
        <v>57.358288591718669</v>
      </c>
      <c r="O90" s="13">
        <f t="shared" si="9"/>
        <v>14</v>
      </c>
      <c r="P90">
        <v>-5</v>
      </c>
      <c r="Q9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0" s="33">
        <v>-1.66</v>
      </c>
      <c r="S90" s="33">
        <f t="shared" si="8"/>
        <v>7.1937500000000005</v>
      </c>
      <c r="T90" s="33"/>
      <c r="U90" s="33"/>
      <c r="V90" s="33">
        <f>-VLOOKUP(Table2[[#This Row],[Home Team]],home_lookup,3,FALSE)-VLOOKUP(B90,lookup,2,FALSE)+VLOOKUP(C90,lookup,2,FALSE)</f>
        <v>6.4972038325237538</v>
      </c>
      <c r="W90" s="1">
        <f t="shared" si="12"/>
        <v>6.8062499999999995</v>
      </c>
      <c r="X90" s="1">
        <f>Table2[[#This Row],[ERR (A)]]^2</f>
        <v>46.325039062499989</v>
      </c>
      <c r="Y90" s="1">
        <f t="shared" si="10"/>
        <v>7.5027961674762462</v>
      </c>
      <c r="Z90" s="1">
        <f>Table2[[#This Row],[ERR (B)]]^2</f>
        <v>56.291950330696245</v>
      </c>
      <c r="AA90" s="18">
        <f>Table2[[#This Row],[Pace (H)]]-Table2[[#This Row],[Pace (A)]]</f>
        <v>-0.29999999999999716</v>
      </c>
      <c r="AB90" s="19">
        <f>Table2[[#This Row],[Total EV]]-Table2[[#Totals],[Total EV]]</f>
        <v>8.4865787802310422</v>
      </c>
      <c r="AC90" s="19">
        <f>Table2[[#This Row],[Total EV]]-Table2[[#This Row],[Total (V)]]</f>
        <v>10.358288591718669</v>
      </c>
      <c r="AD90" s="3">
        <f>Table2[[#This Row],[Margin (V)]]-Table2[[#This Row],[EV (A)]]</f>
        <v>-12.193750000000001</v>
      </c>
      <c r="AE90" t="b">
        <f>IF(VLOOKUP(Table2[[#This Row],[Home Team]],division_lookup,2,FALSE)=VLOOKUP(Table2[[#This Row],[Away Team]],division_lookup,2,FALSE),TRUE, FALSE)</f>
        <v>0</v>
      </c>
    </row>
    <row r="91" spans="1:31" x14ac:dyDescent="0.25">
      <c r="A91">
        <v>6</v>
      </c>
      <c r="B91" t="s">
        <v>21</v>
      </c>
      <c r="C91" t="s">
        <v>20</v>
      </c>
      <c r="D91">
        <v>26</v>
      </c>
      <c r="E91">
        <v>24</v>
      </c>
      <c r="F91" s="6">
        <f>VLOOKUP(Table2[[#This Row],[Home Team]],home_lookup,3,FALSE)+VLOOKUP(Table2[[#This Row],[Home Team]],off_pts_lookup,7,FALSE)+VLOOKUP(Table2[[#This Row],[Away Team]],def_diff_lookup,14,FALSE)</f>
        <v>30.282532156854124</v>
      </c>
      <c r="G91" s="6">
        <f>VLOOKUP(Table2[[#This Row],[Away Team]],off_pts_lookup,7,FALSE)+VLOOKUP(Table2[[#This Row],[Home Team]],def_diff_lookup,14,FALSE)</f>
        <v>24.927746212121207</v>
      </c>
      <c r="H91" s="3">
        <f>VLOOKUP(Table2[[#This Row],[Home Team]],pace_lookup,5,FALSE)</f>
        <v>61.1</v>
      </c>
      <c r="I91" s="3">
        <f>VLOOKUP(Table2[[#This Row],[Away Team]],pace_lookup,5,FALSE)</f>
        <v>61.9</v>
      </c>
      <c r="J91" s="13">
        <f t="shared" si="11"/>
        <v>50</v>
      </c>
      <c r="K91">
        <v>45.5</v>
      </c>
      <c r="N91" s="33">
        <f>Table2[[#This Row],[Home EV]]+Table2[[#This Row],[Away EV]]</f>
        <v>55.210278368975331</v>
      </c>
      <c r="O91" s="13">
        <f t="shared" si="9"/>
        <v>-2</v>
      </c>
      <c r="P91">
        <v>-7</v>
      </c>
      <c r="Q9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1" s="33">
        <v>0.56999999999999995</v>
      </c>
      <c r="S91" s="33">
        <f t="shared" si="8"/>
        <v>-1.7062499999999998</v>
      </c>
      <c r="T91" s="33"/>
      <c r="U91" s="33"/>
      <c r="V91" s="33">
        <f>-VLOOKUP(Table2[[#This Row],[Home Team]],home_lookup,3,FALSE)-VLOOKUP(B91,lookup,2,FALSE)+VLOOKUP(C91,lookup,2,FALSE)</f>
        <v>-1.754785944732915</v>
      </c>
      <c r="W91" s="1">
        <f t="shared" si="12"/>
        <v>-0.29375000000000018</v>
      </c>
      <c r="X91" s="1">
        <f>Table2[[#This Row],[ERR (A)]]^2</f>
        <v>8.628906250000011E-2</v>
      </c>
      <c r="Y91" s="1">
        <f t="shared" si="10"/>
        <v>-0.24521405526708495</v>
      </c>
      <c r="Z91" s="1">
        <f>Table2[[#This Row],[ERR (B)]]^2</f>
        <v>6.0129932900528996E-2</v>
      </c>
      <c r="AA91" s="18">
        <f>Table2[[#This Row],[Pace (H)]]-Table2[[#This Row],[Pace (A)]]</f>
        <v>-0.79999999999999716</v>
      </c>
      <c r="AB91" s="19">
        <f>Table2[[#This Row],[Total EV]]-Table2[[#Totals],[Total EV]]</f>
        <v>6.3385685574877044</v>
      </c>
      <c r="AC91" s="19">
        <f>Table2[[#This Row],[Total EV]]-Table2[[#This Row],[Total (V)]]</f>
        <v>9.7102783689753309</v>
      </c>
      <c r="AD91" s="3">
        <f>Table2[[#This Row],[Margin (V)]]-Table2[[#This Row],[EV (A)]]</f>
        <v>-5.2937500000000002</v>
      </c>
      <c r="AE91" t="b">
        <f>IF(VLOOKUP(Table2[[#This Row],[Home Team]],division_lookup,2,FALSE)=VLOOKUP(Table2[[#This Row],[Away Team]],division_lookup,2,FALSE),TRUE, FALSE)</f>
        <v>0</v>
      </c>
    </row>
    <row r="92" spans="1:31" x14ac:dyDescent="0.25">
      <c r="A92">
        <v>6</v>
      </c>
      <c r="B92" t="s">
        <v>9</v>
      </c>
      <c r="C92" t="s">
        <v>24</v>
      </c>
      <c r="D92">
        <v>26</v>
      </c>
      <c r="E92">
        <v>23</v>
      </c>
      <c r="F92" s="6">
        <f>VLOOKUP(Table2[[#This Row],[Home Team]],home_lookup,3,FALSE)+VLOOKUP(Table2[[#This Row],[Home Team]],off_pts_lookup,7,FALSE)+VLOOKUP(Table2[[#This Row],[Away Team]],def_diff_lookup,14,FALSE)</f>
        <v>30.420294441319125</v>
      </c>
      <c r="G92" s="6">
        <f>VLOOKUP(Table2[[#This Row],[Away Team]],off_pts_lookup,7,FALSE)+VLOOKUP(Table2[[#This Row],[Home Team]],def_diff_lookup,14,FALSE)</f>
        <v>24.316635101010093</v>
      </c>
      <c r="H92" s="3">
        <f>VLOOKUP(Table2[[#This Row],[Home Team]],pace_lookup,5,FALSE)</f>
        <v>65.777777777777771</v>
      </c>
      <c r="I92" s="3">
        <f>VLOOKUP(Table2[[#This Row],[Away Team]],pace_lookup,5,FALSE)</f>
        <v>65.5</v>
      </c>
      <c r="J92" s="13">
        <f t="shared" si="11"/>
        <v>49</v>
      </c>
      <c r="K92">
        <v>48</v>
      </c>
      <c r="N92" s="33">
        <f>Table2[[#This Row],[Home EV]]+Table2[[#This Row],[Away EV]]</f>
        <v>54.736929542329221</v>
      </c>
      <c r="O92" s="13">
        <f t="shared" si="9"/>
        <v>-3</v>
      </c>
      <c r="P92">
        <v>-3</v>
      </c>
      <c r="Q9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92" s="33">
        <v>-3.59</v>
      </c>
      <c r="S92" s="33">
        <f t="shared" si="8"/>
        <v>-2.40625</v>
      </c>
      <c r="T92" s="33"/>
      <c r="U92" s="33"/>
      <c r="V92" s="33">
        <f>-VLOOKUP(Table2[[#This Row],[Home Team]],home_lookup,3,FALSE)-VLOOKUP(B92,lookup,2,FALSE)+VLOOKUP(C92,lookup,2,FALSE)</f>
        <v>-7.6036593403090293</v>
      </c>
      <c r="W92" s="1">
        <f t="shared" si="12"/>
        <v>-0.59375</v>
      </c>
      <c r="X92" s="1">
        <f>Table2[[#This Row],[ERR (A)]]^2</f>
        <v>0.3525390625</v>
      </c>
      <c r="Y92" s="1">
        <f t="shared" si="10"/>
        <v>4.6036593403090293</v>
      </c>
      <c r="Z92" s="1">
        <f>Table2[[#This Row],[ERR (B)]]^2</f>
        <v>21.193679321614567</v>
      </c>
      <c r="AA92" s="18">
        <f>Table2[[#This Row],[Pace (H)]]-Table2[[#This Row],[Pace (A)]]</f>
        <v>0.27777777777777146</v>
      </c>
      <c r="AB92" s="19">
        <f>Table2[[#This Row],[Total EV]]-Table2[[#Totals],[Total EV]]</f>
        <v>5.865219730841595</v>
      </c>
      <c r="AC92" s="19">
        <f>Table2[[#This Row],[Total EV]]-Table2[[#This Row],[Total (V)]]</f>
        <v>6.7369295423292215</v>
      </c>
      <c r="AD92" s="3">
        <f>Table2[[#This Row],[Margin (V)]]-Table2[[#This Row],[EV (A)]]</f>
        <v>-0.59375</v>
      </c>
      <c r="AE92" t="b">
        <f>IF(VLOOKUP(Table2[[#This Row],[Home Team]],division_lookup,2,FALSE)=VLOOKUP(Table2[[#This Row],[Away Team]],division_lookup,2,FALSE),TRUE, FALSE)</f>
        <v>1</v>
      </c>
    </row>
    <row r="93" spans="1:31" ht="15.75" thickBot="1" x14ac:dyDescent="0.3">
      <c r="A93" s="9">
        <v>6</v>
      </c>
      <c r="B93" s="9" t="s">
        <v>28</v>
      </c>
      <c r="C93" s="9" t="s">
        <v>8</v>
      </c>
      <c r="D93" s="9">
        <v>28</v>
      </c>
      <c r="E93" s="9">
        <v>3</v>
      </c>
      <c r="F93" s="30">
        <f>VLOOKUP(Table2[[#This Row],[Home Team]],home_lookup,3,FALSE)+VLOOKUP(Table2[[#This Row],[Home Team]],off_pts_lookup,7,FALSE)+VLOOKUP(Table2[[#This Row],[Away Team]],def_diff_lookup,14,FALSE)</f>
        <v>29.582451190521773</v>
      </c>
      <c r="G93" s="30">
        <f>VLOOKUP(Table2[[#This Row],[Away Team]],off_pts_lookup,7,FALSE)+VLOOKUP(Table2[[#This Row],[Home Team]],def_diff_lookup,14,FALSE)</f>
        <v>14.027746212121208</v>
      </c>
      <c r="H93" s="15">
        <f>VLOOKUP(Table2[[#This Row],[Home Team]],pace_lookup,5,FALSE)</f>
        <v>71</v>
      </c>
      <c r="I93" s="15">
        <f>VLOOKUP(Table2[[#This Row],[Away Team]],pace_lookup,5,FALSE)</f>
        <v>62.6</v>
      </c>
      <c r="J93" s="14">
        <f t="shared" si="11"/>
        <v>31</v>
      </c>
      <c r="K93" s="9">
        <v>46</v>
      </c>
      <c r="L93" s="9"/>
      <c r="M93" s="9"/>
      <c r="N93" s="34">
        <f>Table2[[#This Row],[Home EV]]+Table2[[#This Row],[Away EV]]</f>
        <v>43.610197402642982</v>
      </c>
      <c r="O93" s="14">
        <f t="shared" si="9"/>
        <v>-25</v>
      </c>
      <c r="P93" s="9">
        <v>-7</v>
      </c>
      <c r="Q93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3" s="34">
        <v>-7.03</v>
      </c>
      <c r="S93" s="34">
        <f t="shared" si="8"/>
        <v>-11.006250000000001</v>
      </c>
      <c r="T93" s="34"/>
      <c r="U93" s="34"/>
      <c r="V93" s="34">
        <f>-VLOOKUP(Table2[[#This Row],[Home Team]],home_lookup,3,FALSE)-VLOOKUP(B93,lookup,2,FALSE)+VLOOKUP(C93,lookup,2,FALSE)</f>
        <v>-13.554704978400562</v>
      </c>
      <c r="W93" s="16">
        <f t="shared" si="12"/>
        <v>-13.993749999999999</v>
      </c>
      <c r="X93" s="16">
        <f>Table2[[#This Row],[ERR (A)]]^2</f>
        <v>195.82503906249997</v>
      </c>
      <c r="Y93" s="16">
        <f t="shared" si="10"/>
        <v>-11.445295021599438</v>
      </c>
      <c r="Z93" s="16">
        <f>Table2[[#This Row],[ERR (B)]]^2</f>
        <v>130.9947781314489</v>
      </c>
      <c r="AA93" s="24">
        <f>Table2[[#This Row],[Pace (H)]]-Table2[[#This Row],[Pace (A)]]</f>
        <v>8.3999999999999986</v>
      </c>
      <c r="AB93" s="15">
        <f>Table2[[#This Row],[Total EV]]-Table2[[#Totals],[Total EV]]</f>
        <v>-5.261512408844645</v>
      </c>
      <c r="AC93" s="15">
        <f>Table2[[#This Row],[Total EV]]-Table2[[#This Row],[Total (V)]]</f>
        <v>-2.3898025973570185</v>
      </c>
      <c r="AD93" s="15">
        <f>Table2[[#This Row],[Margin (V)]]-Table2[[#This Row],[EV (A)]]</f>
        <v>4.0062500000000014</v>
      </c>
      <c r="AE93" s="9" t="b">
        <f>IF(VLOOKUP(Table2[[#This Row],[Home Team]],division_lookup,2,FALSE)=VLOOKUP(Table2[[#This Row],[Away Team]],division_lookup,2,FALSE),TRUE, FALSE)</f>
        <v>0</v>
      </c>
    </row>
    <row r="94" spans="1:31" x14ac:dyDescent="0.25">
      <c r="A94">
        <v>7</v>
      </c>
      <c r="B94" t="s">
        <v>3</v>
      </c>
      <c r="C94" t="s">
        <v>10</v>
      </c>
      <c r="D94">
        <v>26</v>
      </c>
      <c r="E94">
        <v>10</v>
      </c>
      <c r="F94" s="6">
        <f>VLOOKUP(Table2[[#This Row],[Home Team]],home_lookup,3,FALSE)+VLOOKUP(Table2[[#This Row],[Home Team]],off_pts_lookup,7,FALSE)+VLOOKUP(Table2[[#This Row],[Away Team]],def_diff_lookup,14,FALSE)</f>
        <v>29.130542379597458</v>
      </c>
      <c r="G94" s="6">
        <f>VLOOKUP(Table2[[#This Row],[Away Team]],off_pts_lookup,7,FALSE)+VLOOKUP(Table2[[#This Row],[Home Team]],def_diff_lookup,14,FALSE)</f>
        <v>20.427746212121214</v>
      </c>
      <c r="H94" s="3">
        <f>VLOOKUP(Table2[[#This Row],[Home Team]],pace_lookup,5,FALSE)</f>
        <v>66.2</v>
      </c>
      <c r="I94" s="3">
        <f>VLOOKUP(Table2[[#This Row],[Away Team]],pace_lookup,5,FALSE)</f>
        <v>59.3</v>
      </c>
      <c r="J94" s="13">
        <f t="shared" si="11"/>
        <v>36</v>
      </c>
      <c r="K94">
        <v>46.5</v>
      </c>
      <c r="N94" s="33">
        <f>Table2[[#This Row],[Home EV]]+Table2[[#This Row],[Away EV]]</f>
        <v>49.558288591718672</v>
      </c>
      <c r="O94" s="13">
        <f t="shared" si="9"/>
        <v>-16</v>
      </c>
      <c r="P94">
        <v>-7.5</v>
      </c>
      <c r="Q9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4" s="33">
        <v>-11.55</v>
      </c>
      <c r="S94" s="33">
        <f t="shared" si="8"/>
        <v>-9.1062499999999993</v>
      </c>
      <c r="T94" s="33"/>
      <c r="U94" s="33"/>
      <c r="V94" s="33">
        <f>-VLOOKUP(Table2[[#This Row],[Home Team]],home_lookup,3,FALSE)-VLOOKUP(B94,lookup,2,FALSE)+VLOOKUP(C94,lookup,2,FALSE)</f>
        <v>-9.8027961674762469</v>
      </c>
      <c r="W94" s="1">
        <f t="shared" si="12"/>
        <v>-6.8937500000000007</v>
      </c>
      <c r="X94" s="1">
        <f>Table2[[#This Row],[ERR (A)]]^2</f>
        <v>47.523789062500008</v>
      </c>
      <c r="Y94" s="1">
        <f t="shared" si="10"/>
        <v>-6.1972038325237531</v>
      </c>
      <c r="Z94" s="1">
        <f>Table2[[#This Row],[ERR (B)]]^2</f>
        <v>38.405335341847092</v>
      </c>
      <c r="AA94" s="18">
        <f>Table2[[#This Row],[Pace (H)]]-Table2[[#This Row],[Pace (A)]]</f>
        <v>6.9000000000000057</v>
      </c>
      <c r="AB94" s="19">
        <f>Table2[[#This Row],[Total EV]]-Table2[[#Totals],[Total EV]]</f>
        <v>0.68657878023104502</v>
      </c>
      <c r="AC94" s="19">
        <f>Table2[[#This Row],[Total EV]]-Table2[[#This Row],[Total (V)]]</f>
        <v>3.0582885917186715</v>
      </c>
      <c r="AD94" s="3">
        <f>Table2[[#This Row],[Margin (V)]]-Table2[[#This Row],[EV (A)]]</f>
        <v>1.6062499999999993</v>
      </c>
      <c r="AE94" t="b">
        <f>IF(VLOOKUP(Table2[[#This Row],[Home Team]],division_lookup,2,FALSE)=VLOOKUP(Table2[[#This Row],[Away Team]],division_lookup,2,FALSE),TRUE, FALSE)</f>
        <v>1</v>
      </c>
    </row>
    <row r="95" spans="1:31" x14ac:dyDescent="0.25">
      <c r="A95">
        <v>7</v>
      </c>
      <c r="B95" t="s">
        <v>32</v>
      </c>
      <c r="C95" t="s">
        <v>25</v>
      </c>
      <c r="D95">
        <v>10</v>
      </c>
      <c r="E95">
        <v>17</v>
      </c>
      <c r="F95" s="6">
        <f>VLOOKUP(Table2[[#This Row],[Home Team]],home_lookup,3,FALSE)+VLOOKUP(Table2[[#This Row],[Home Team]],off_pts_lookup,7,FALSE)+VLOOKUP(Table2[[#This Row],[Away Team]],def_diff_lookup,14,FALSE)</f>
        <v>15.05756289122094</v>
      </c>
      <c r="G95" s="6">
        <f>VLOOKUP(Table2[[#This Row],[Away Team]],off_pts_lookup,7,FALSE)+VLOOKUP(Table2[[#This Row],[Home Team]],def_diff_lookup,14,FALSE)</f>
        <v>16.227746212121211</v>
      </c>
      <c r="H95" s="3">
        <f>VLOOKUP(Table2[[#This Row],[Home Team]],pace_lookup,5,FALSE)</f>
        <v>62.2</v>
      </c>
      <c r="I95" s="3">
        <f>VLOOKUP(Table2[[#This Row],[Away Team]],pace_lookup,5,FALSE)</f>
        <v>62.6</v>
      </c>
      <c r="J95" s="13">
        <f t="shared" si="11"/>
        <v>27</v>
      </c>
      <c r="K95">
        <v>45.5</v>
      </c>
      <c r="N95" s="33">
        <f>Table2[[#This Row],[Home EV]]+Table2[[#This Row],[Away EV]]</f>
        <v>31.285309103342151</v>
      </c>
      <c r="O95" s="13">
        <f t="shared" si="9"/>
        <v>7</v>
      </c>
      <c r="P95">
        <v>3</v>
      </c>
      <c r="Q9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95" s="33">
        <v>2.2400000000000002</v>
      </c>
      <c r="S95" s="33">
        <f>-VLOOKUP(B95,lookup,2,FALSE)+VLOOKUP(C95,lookup,2,FALSE)</f>
        <v>5.0999999999999996</v>
      </c>
      <c r="T95" s="33"/>
      <c r="U95" s="33"/>
      <c r="V95" s="33">
        <f>-VLOOKUP(Table2[[#This Row],[Home Team]],home_lookup,3,FALSE)-VLOOKUP(B95,lookup,2,FALSE)+VLOOKUP(C95,lookup,2,FALSE)</f>
        <v>2.0701833209002718</v>
      </c>
      <c r="W95" s="1">
        <f t="shared" si="12"/>
        <v>1.9000000000000004</v>
      </c>
      <c r="X95" s="1">
        <f>Table2[[#This Row],[ERR (A)]]^2</f>
        <v>3.6100000000000012</v>
      </c>
      <c r="Y95" s="1">
        <f t="shared" si="10"/>
        <v>4.9298166790997282</v>
      </c>
      <c r="Z95" s="1">
        <f>Table2[[#This Row],[ERR (B)]]^2</f>
        <v>24.303092489529874</v>
      </c>
      <c r="AA95" s="18">
        <f>Table2[[#This Row],[Pace (H)]]-Table2[[#This Row],[Pace (A)]]</f>
        <v>-0.39999999999999858</v>
      </c>
      <c r="AB95" s="19">
        <f>Table2[[#This Row],[Total EV]]-Table2[[#Totals],[Total EV]]</f>
        <v>-17.586400708145476</v>
      </c>
      <c r="AC95" s="19">
        <f>Table2[[#This Row],[Total EV]]-Table2[[#This Row],[Total (V)]]</f>
        <v>-14.214690896657849</v>
      </c>
      <c r="AD95" s="3">
        <f>Table2[[#This Row],[Margin (V)]]-Table2[[#This Row],[EV (A)]]</f>
        <v>-2.0999999999999996</v>
      </c>
      <c r="AE95" t="b">
        <f>IF(VLOOKUP(Table2[[#This Row],[Home Team]],division_lookup,2,FALSE)=VLOOKUP(Table2[[#This Row],[Away Team]],division_lookup,2,FALSE),TRUE, FALSE)</f>
        <v>0</v>
      </c>
    </row>
    <row r="96" spans="1:31" x14ac:dyDescent="0.25">
      <c r="A96">
        <v>7</v>
      </c>
      <c r="B96" t="s">
        <v>13</v>
      </c>
      <c r="C96" t="s">
        <v>11</v>
      </c>
      <c r="D96">
        <v>21</v>
      </c>
      <c r="E96">
        <v>10</v>
      </c>
      <c r="F96" s="6">
        <f>VLOOKUP(Table2[[#This Row],[Home Team]],home_lookup,3,FALSE)+VLOOKUP(Table2[[#This Row],[Home Team]],off_pts_lookup,7,FALSE)+VLOOKUP(Table2[[#This Row],[Away Team]],def_diff_lookup,14,FALSE)</f>
        <v>28.706267554652722</v>
      </c>
      <c r="G96" s="6">
        <f>VLOOKUP(Table2[[#This Row],[Away Team]],off_pts_lookup,7,FALSE)+VLOOKUP(Table2[[#This Row],[Home Team]],def_diff_lookup,14,FALSE)</f>
        <v>16.227746212121207</v>
      </c>
      <c r="H96" s="3">
        <f>VLOOKUP(Table2[[#This Row],[Home Team]],pace_lookup,5,FALSE)</f>
        <v>65.5</v>
      </c>
      <c r="I96" s="3">
        <f>VLOOKUP(Table2[[#This Row],[Away Team]],pace_lookup,5,FALSE)</f>
        <v>62.9</v>
      </c>
      <c r="J96" s="13">
        <f t="shared" si="11"/>
        <v>31</v>
      </c>
      <c r="K96">
        <v>39</v>
      </c>
      <c r="N96" s="33">
        <f>Table2[[#This Row],[Home EV]]+Table2[[#This Row],[Away EV]]</f>
        <v>44.93401376677393</v>
      </c>
      <c r="O96" s="13">
        <f t="shared" si="9"/>
        <v>-11</v>
      </c>
      <c r="P96">
        <v>3</v>
      </c>
      <c r="Q9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6" s="33">
        <v>-6.06</v>
      </c>
      <c r="S96" s="33">
        <f t="shared" ref="S96:S109" si="13">-home-VLOOKUP(B96,lookup,2,FALSE)+VLOOKUP(C96,lookup,2,FALSE)</f>
        <v>-8.6062499999999993</v>
      </c>
      <c r="T96" s="33"/>
      <c r="U96" s="33"/>
      <c r="V96" s="33">
        <f>-VLOOKUP(Table2[[#This Row],[Home Team]],home_lookup,3,FALSE)-VLOOKUP(B96,lookup,2,FALSE)+VLOOKUP(C96,lookup,2,FALSE)</f>
        <v>-15.578521342531513</v>
      </c>
      <c r="W96" s="1">
        <f t="shared" si="12"/>
        <v>-2.3937500000000007</v>
      </c>
      <c r="X96" s="1">
        <f>Table2[[#This Row],[ERR (A)]]^2</f>
        <v>5.7300390625000031</v>
      </c>
      <c r="Y96" s="1">
        <f t="shared" si="10"/>
        <v>4.5785213425315128</v>
      </c>
      <c r="Z96" s="1">
        <f>Table2[[#This Row],[ERR (B)]]^2</f>
        <v>20.962857684016566</v>
      </c>
      <c r="AA96" s="18">
        <f>Table2[[#This Row],[Pace (H)]]-Table2[[#This Row],[Pace (A)]]</f>
        <v>2.6000000000000014</v>
      </c>
      <c r="AB96" s="19">
        <f>Table2[[#This Row],[Total EV]]-Table2[[#Totals],[Total EV]]</f>
        <v>-3.9376960447136966</v>
      </c>
      <c r="AC96" s="19">
        <f>Table2[[#This Row],[Total EV]]-Table2[[#This Row],[Total (V)]]</f>
        <v>5.9340137667739299</v>
      </c>
      <c r="AD96" s="3">
        <f>Table2[[#This Row],[Margin (V)]]-Table2[[#This Row],[EV (A)]]</f>
        <v>11.606249999999999</v>
      </c>
      <c r="AE96" t="b">
        <f>IF(VLOOKUP(Table2[[#This Row],[Home Team]],division_lookup,2,FALSE)=VLOOKUP(Table2[[#This Row],[Away Team]],division_lookup,2,FALSE),TRUE, FALSE)</f>
        <v>0</v>
      </c>
    </row>
    <row r="97" spans="1:31" x14ac:dyDescent="0.25">
      <c r="A97">
        <v>7</v>
      </c>
      <c r="B97" t="s">
        <v>4</v>
      </c>
      <c r="C97" t="s">
        <v>15</v>
      </c>
      <c r="D97">
        <v>16</v>
      </c>
      <c r="E97">
        <v>33</v>
      </c>
      <c r="F97" s="6">
        <f>VLOOKUP(Table2[[#This Row],[Home Team]],home_lookup,3,FALSE)+VLOOKUP(Table2[[#This Row],[Home Team]],off_pts_lookup,7,FALSE)+VLOOKUP(Table2[[#This Row],[Away Team]],def_diff_lookup,14,FALSE)</f>
        <v>24.088928967726829</v>
      </c>
      <c r="G97" s="6">
        <f>VLOOKUP(Table2[[#This Row],[Away Team]],off_pts_lookup,7,FALSE)+VLOOKUP(Table2[[#This Row],[Home Team]],def_diff_lookup,14,FALSE)</f>
        <v>30.849968434343435</v>
      </c>
      <c r="H97" s="3">
        <f>VLOOKUP(Table2[[#This Row],[Home Team]],pace_lookup,5,FALSE)</f>
        <v>65.099999999999994</v>
      </c>
      <c r="I97" s="3">
        <f>VLOOKUP(Table2[[#This Row],[Away Team]],pace_lookup,5,FALSE)</f>
        <v>67</v>
      </c>
      <c r="J97" s="13">
        <f t="shared" si="11"/>
        <v>49</v>
      </c>
      <c r="K97">
        <v>47.5</v>
      </c>
      <c r="N97" s="33">
        <f>Table2[[#This Row],[Home EV]]+Table2[[#This Row],[Away EV]]</f>
        <v>54.938897402070268</v>
      </c>
      <c r="O97" s="13">
        <f t="shared" si="9"/>
        <v>17</v>
      </c>
      <c r="P97">
        <v>-2</v>
      </c>
      <c r="Q9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97" s="33">
        <v>1.93</v>
      </c>
      <c r="S97" s="33">
        <f t="shared" si="13"/>
        <v>9.09375</v>
      </c>
      <c r="T97" s="33"/>
      <c r="U97" s="33"/>
      <c r="V97" s="33">
        <f>-VLOOKUP(Table2[[#This Row],[Home Team]],home_lookup,3,FALSE)-VLOOKUP(B97,lookup,2,FALSE)+VLOOKUP(C97,lookup,2,FALSE)</f>
        <v>9.1165950221721523</v>
      </c>
      <c r="W97" s="1">
        <f t="shared" si="12"/>
        <v>7.90625</v>
      </c>
      <c r="X97" s="1">
        <f>Table2[[#This Row],[ERR (A)]]^2</f>
        <v>62.5087890625</v>
      </c>
      <c r="Y97" s="1">
        <f t="shared" si="10"/>
        <v>7.8834049778278477</v>
      </c>
      <c r="Z97" s="1">
        <f>Table2[[#This Row],[ERR (B)]]^2</f>
        <v>62.148074044440889</v>
      </c>
      <c r="AA97" s="18">
        <f>Table2[[#This Row],[Pace (H)]]-Table2[[#This Row],[Pace (A)]]</f>
        <v>-1.9000000000000057</v>
      </c>
      <c r="AB97" s="19">
        <f>Table2[[#This Row],[Total EV]]-Table2[[#Totals],[Total EV]]</f>
        <v>6.0671875905826411</v>
      </c>
      <c r="AC97" s="19">
        <f>Table2[[#This Row],[Total EV]]-Table2[[#This Row],[Total (V)]]</f>
        <v>7.4388974020702676</v>
      </c>
      <c r="AD97" s="3">
        <f>Table2[[#This Row],[Margin (V)]]-Table2[[#This Row],[EV (A)]]</f>
        <v>-11.09375</v>
      </c>
      <c r="AE97" t="b">
        <f>IF(VLOOKUP(Table2[[#This Row],[Home Team]],division_lookup,2,FALSE)=VLOOKUP(Table2[[#This Row],[Away Team]],division_lookup,2,FALSE),TRUE, FALSE)</f>
        <v>0</v>
      </c>
    </row>
    <row r="98" spans="1:31" x14ac:dyDescent="0.25">
      <c r="A98">
        <v>7</v>
      </c>
      <c r="B98" t="s">
        <v>22</v>
      </c>
      <c r="C98" t="s">
        <v>6</v>
      </c>
      <c r="D98">
        <v>28</v>
      </c>
      <c r="E98">
        <v>25</v>
      </c>
      <c r="F98" s="6">
        <f>VLOOKUP(Table2[[#This Row],[Home Team]],home_lookup,3,FALSE)+VLOOKUP(Table2[[#This Row],[Home Team]],off_pts_lookup,7,FALSE)+VLOOKUP(Table2[[#This Row],[Away Team]],def_diff_lookup,14,FALSE)</f>
        <v>26.591552914198218</v>
      </c>
      <c r="G98" s="6">
        <f>VLOOKUP(Table2[[#This Row],[Away Team]],off_pts_lookup,7,FALSE)+VLOOKUP(Table2[[#This Row],[Home Team]],def_diff_lookup,14,FALSE)</f>
        <v>24.027746212121212</v>
      </c>
      <c r="H98" s="3">
        <f>VLOOKUP(Table2[[#This Row],[Home Team]],pace_lookup,5,FALSE)</f>
        <v>56.9</v>
      </c>
      <c r="I98" s="3">
        <f>VLOOKUP(Table2[[#This Row],[Away Team]],pace_lookup,5,FALSE)</f>
        <v>62.5</v>
      </c>
      <c r="J98" s="13">
        <f t="shared" si="11"/>
        <v>53</v>
      </c>
      <c r="K98">
        <v>46</v>
      </c>
      <c r="N98" s="33">
        <f>Table2[[#This Row],[Home EV]]+Table2[[#This Row],[Away EV]]</f>
        <v>50.619299126319433</v>
      </c>
      <c r="O98" s="13">
        <f t="shared" ref="O98:O161" si="14">E98-D98</f>
        <v>-3</v>
      </c>
      <c r="P98">
        <v>2.5</v>
      </c>
      <c r="Q9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98" s="33">
        <v>3.69</v>
      </c>
      <c r="S98" s="33">
        <f t="shared" si="13"/>
        <v>1.6937499999999996</v>
      </c>
      <c r="T98" s="33"/>
      <c r="U98" s="33"/>
      <c r="V98" s="33">
        <f>-VLOOKUP(Table2[[#This Row],[Home Team]],home_lookup,3,FALSE)-VLOOKUP(B98,lookup,2,FALSE)+VLOOKUP(C98,lookup,2,FALSE)</f>
        <v>-1.5638067020770086</v>
      </c>
      <c r="W98" s="1">
        <f t="shared" si="12"/>
        <v>-4.6937499999999996</v>
      </c>
      <c r="X98" s="1">
        <f>Table2[[#This Row],[ERR (A)]]^2</f>
        <v>22.031289062499997</v>
      </c>
      <c r="Y98" s="1">
        <f t="shared" ref="Y98:Y129" si="15">$O98-V98</f>
        <v>-1.4361932979229914</v>
      </c>
      <c r="Z98" s="1">
        <f>Table2[[#This Row],[ERR (B)]]^2</f>
        <v>2.0626511889989185</v>
      </c>
      <c r="AA98" s="18">
        <f>Table2[[#This Row],[Pace (H)]]-Table2[[#This Row],[Pace (A)]]</f>
        <v>-5.6000000000000014</v>
      </c>
      <c r="AB98" s="19">
        <f>Table2[[#This Row],[Total EV]]-Table2[[#Totals],[Total EV]]</f>
        <v>1.7475893148318065</v>
      </c>
      <c r="AC98" s="19">
        <f>Table2[[#This Row],[Total EV]]-Table2[[#This Row],[Total (V)]]</f>
        <v>4.619299126319433</v>
      </c>
      <c r="AD98" s="3">
        <f>Table2[[#This Row],[Margin (V)]]-Table2[[#This Row],[EV (A)]]</f>
        <v>0.80625000000000036</v>
      </c>
      <c r="AE98" t="b">
        <f>IF(VLOOKUP(Table2[[#This Row],[Home Team]],division_lookup,2,FALSE)=VLOOKUP(Table2[[#This Row],[Away Team]],division_lookup,2,FALSE),TRUE, FALSE)</f>
        <v>1</v>
      </c>
    </row>
    <row r="99" spans="1:31" x14ac:dyDescent="0.25">
      <c r="A99">
        <v>7</v>
      </c>
      <c r="B99" t="s">
        <v>7</v>
      </c>
      <c r="C99" t="s">
        <v>14</v>
      </c>
      <c r="D99">
        <v>31</v>
      </c>
      <c r="E99">
        <v>17</v>
      </c>
      <c r="F99" s="6">
        <f>VLOOKUP(Table2[[#This Row],[Home Team]],home_lookup,3,FALSE)+VLOOKUP(Table2[[#This Row],[Home Team]],off_pts_lookup,7,FALSE)+VLOOKUP(Table2[[#This Row],[Away Team]],def_diff_lookup,14,FALSE)</f>
        <v>30.903000599015861</v>
      </c>
      <c r="G99" s="6">
        <f>VLOOKUP(Table2[[#This Row],[Away Team]],off_pts_lookup,7,FALSE)+VLOOKUP(Table2[[#This Row],[Home Team]],def_diff_lookup,14,FALSE)</f>
        <v>16.455018939393938</v>
      </c>
      <c r="H99" s="3">
        <f>VLOOKUP(Table2[[#This Row],[Home Team]],pace_lookup,5,FALSE)</f>
        <v>65.900000000000006</v>
      </c>
      <c r="I99" s="3">
        <f>VLOOKUP(Table2[[#This Row],[Away Team]],pace_lookup,5,FALSE)</f>
        <v>60.090909090909093</v>
      </c>
      <c r="J99" s="13">
        <f t="shared" si="11"/>
        <v>48</v>
      </c>
      <c r="K99">
        <v>46.5</v>
      </c>
      <c r="N99" s="33">
        <f>Table2[[#This Row],[Home EV]]+Table2[[#This Row],[Away EV]]</f>
        <v>47.358019538409799</v>
      </c>
      <c r="O99" s="13">
        <f t="shared" si="14"/>
        <v>-14</v>
      </c>
      <c r="P99">
        <v>-11.5</v>
      </c>
      <c r="Q9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99" s="33">
        <v>-9.06</v>
      </c>
      <c r="S99" s="33">
        <f t="shared" si="13"/>
        <v>-12.30625</v>
      </c>
      <c r="T99" s="33"/>
      <c r="U99" s="33"/>
      <c r="V99" s="33">
        <f>-VLOOKUP(Table2[[#This Row],[Home Team]],home_lookup,3,FALSE)-VLOOKUP(B99,lookup,2,FALSE)+VLOOKUP(C99,lookup,2,FALSE)</f>
        <v>-13.729799841440107</v>
      </c>
      <c r="W99" s="1">
        <f t="shared" si="12"/>
        <v>-1.6937499999999996</v>
      </c>
      <c r="X99" s="1">
        <f>Table2[[#This Row],[ERR (A)]]^2</f>
        <v>2.868789062499999</v>
      </c>
      <c r="Y99" s="1">
        <f t="shared" si="15"/>
        <v>-0.27020015855989321</v>
      </c>
      <c r="Z99" s="1">
        <f>Table2[[#This Row],[ERR (B)]]^2</f>
        <v>7.3008125685791431E-2</v>
      </c>
      <c r="AA99" s="18">
        <f>Table2[[#This Row],[Pace (H)]]-Table2[[#This Row],[Pace (A)]]</f>
        <v>5.8090909090909122</v>
      </c>
      <c r="AB99" s="19">
        <f>Table2[[#This Row],[Total EV]]-Table2[[#Totals],[Total EV]]</f>
        <v>-1.5136902730778274</v>
      </c>
      <c r="AC99" s="19">
        <f>Table2[[#This Row],[Total EV]]-Table2[[#This Row],[Total (V)]]</f>
        <v>0.85801953840979905</v>
      </c>
      <c r="AD99" s="3">
        <f>Table2[[#This Row],[Margin (V)]]-Table2[[#This Row],[EV (A)]]</f>
        <v>0.80625000000000036</v>
      </c>
      <c r="AE99" t="b">
        <f>IF(VLOOKUP(Table2[[#This Row],[Home Team]],division_lookup,2,FALSE)=VLOOKUP(Table2[[#This Row],[Away Team]],division_lookup,2,FALSE),TRUE, FALSE)</f>
        <v>1</v>
      </c>
    </row>
    <row r="100" spans="1:31" x14ac:dyDescent="0.25">
      <c r="A100">
        <v>7</v>
      </c>
      <c r="B100" t="s">
        <v>12</v>
      </c>
      <c r="C100" t="s">
        <v>24</v>
      </c>
      <c r="D100">
        <v>26</v>
      </c>
      <c r="E100">
        <v>34</v>
      </c>
      <c r="F100" s="6">
        <f>VLOOKUP(Table2[[#This Row],[Home Team]],home_lookup,3,FALSE)+VLOOKUP(Table2[[#This Row],[Home Team]],off_pts_lookup,7,FALSE)+VLOOKUP(Table2[[#This Row],[Away Team]],def_diff_lookup,14,FALSE)</f>
        <v>30.503021368215766</v>
      </c>
      <c r="G100" s="6">
        <f>VLOOKUP(Table2[[#This Row],[Away Team]],off_pts_lookup,7,FALSE)+VLOOKUP(Table2[[#This Row],[Home Team]],def_diff_lookup,14,FALSE)</f>
        <v>28.427746212121207</v>
      </c>
      <c r="H100" s="3">
        <f>VLOOKUP(Table2[[#This Row],[Home Team]],pace_lookup,5,FALSE)</f>
        <v>63.909090909090907</v>
      </c>
      <c r="I100" s="3">
        <f>VLOOKUP(Table2[[#This Row],[Away Team]],pace_lookup,5,FALSE)</f>
        <v>65.5</v>
      </c>
      <c r="J100" s="13">
        <f t="shared" si="11"/>
        <v>60</v>
      </c>
      <c r="K100">
        <v>48.5</v>
      </c>
      <c r="N100" s="33">
        <f>Table2[[#This Row],[Home EV]]+Table2[[#This Row],[Away EV]]</f>
        <v>58.930767580336976</v>
      </c>
      <c r="O100" s="13">
        <f t="shared" si="14"/>
        <v>8</v>
      </c>
      <c r="P100">
        <v>-4</v>
      </c>
      <c r="Q10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00" s="33">
        <v>-3.15</v>
      </c>
      <c r="S100" s="33">
        <f t="shared" si="13"/>
        <v>-4.7062500000000007</v>
      </c>
      <c r="T100" s="33"/>
      <c r="U100" s="33"/>
      <c r="V100" s="33">
        <f>-VLOOKUP(Table2[[#This Row],[Home Team]],home_lookup,3,FALSE)-VLOOKUP(B100,lookup,2,FALSE)+VLOOKUP(C100,lookup,2,FALSE)</f>
        <v>-2.3298206106400179</v>
      </c>
      <c r="W100" s="1">
        <f t="shared" si="12"/>
        <v>12.706250000000001</v>
      </c>
      <c r="X100" s="1">
        <f>Table2[[#This Row],[ERR (A)]]^2</f>
        <v>161.44878906250003</v>
      </c>
      <c r="Y100" s="1">
        <f t="shared" si="15"/>
        <v>10.329820610640018</v>
      </c>
      <c r="Z100" s="1">
        <f>Table2[[#This Row],[ERR (B)]]^2</f>
        <v>106.70519384800332</v>
      </c>
      <c r="AA100" s="18">
        <f>Table2[[#This Row],[Pace (H)]]-Table2[[#This Row],[Pace (A)]]</f>
        <v>-1.5909090909090935</v>
      </c>
      <c r="AB100" s="19">
        <f>Table2[[#This Row],[Total EV]]-Table2[[#Totals],[Total EV]]</f>
        <v>10.05905776884935</v>
      </c>
      <c r="AC100" s="19">
        <f>Table2[[#This Row],[Total EV]]-Table2[[#This Row],[Total (V)]]</f>
        <v>10.430767580336976</v>
      </c>
      <c r="AD100" s="3">
        <f>Table2[[#This Row],[Margin (V)]]-Table2[[#This Row],[EV (A)]]</f>
        <v>0.70625000000000071</v>
      </c>
      <c r="AE100" t="b">
        <f>IF(VLOOKUP(Table2[[#This Row],[Home Team]],division_lookup,2,FALSE)=VLOOKUP(Table2[[#This Row],[Away Team]],division_lookup,2,FALSE),TRUE, FALSE)</f>
        <v>1</v>
      </c>
    </row>
    <row r="101" spans="1:31" x14ac:dyDescent="0.25">
      <c r="A101">
        <v>7</v>
      </c>
      <c r="B101" t="s">
        <v>23</v>
      </c>
      <c r="C101" t="s">
        <v>30</v>
      </c>
      <c r="D101">
        <v>20</v>
      </c>
      <c r="E101">
        <v>17</v>
      </c>
      <c r="F101" s="6">
        <f>VLOOKUP(Table2[[#This Row],[Home Team]],home_lookup,3,FALSE)+VLOOKUP(Table2[[#This Row],[Home Team]],off_pts_lookup,7,FALSE)+VLOOKUP(Table2[[#This Row],[Away Team]],def_diff_lookup,14,FALSE)</f>
        <v>26.98080561251367</v>
      </c>
      <c r="G101" s="6">
        <f>VLOOKUP(Table2[[#This Row],[Away Team]],off_pts_lookup,7,FALSE)+VLOOKUP(Table2[[#This Row],[Home Team]],def_diff_lookup,14,FALSE)</f>
        <v>25.027746212121212</v>
      </c>
      <c r="H101" s="3">
        <f>VLOOKUP(Table2[[#This Row],[Home Team]],pace_lookup,5,FALSE)</f>
        <v>59.4</v>
      </c>
      <c r="I101" s="3">
        <f>VLOOKUP(Table2[[#This Row],[Away Team]],pace_lookup,5,FALSE)</f>
        <v>65.5</v>
      </c>
      <c r="J101" s="13">
        <f t="shared" si="11"/>
        <v>37</v>
      </c>
      <c r="K101">
        <v>50</v>
      </c>
      <c r="N101" s="33">
        <f>Table2[[#This Row],[Home EV]]+Table2[[#This Row],[Away EV]]</f>
        <v>52.008551824634878</v>
      </c>
      <c r="O101" s="13">
        <f t="shared" si="14"/>
        <v>-3</v>
      </c>
      <c r="P101">
        <v>1</v>
      </c>
      <c r="Q10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01" s="33">
        <v>0.44</v>
      </c>
      <c r="S101" s="33">
        <f t="shared" si="13"/>
        <v>-0.80625000000000002</v>
      </c>
      <c r="T101" s="33"/>
      <c r="U101" s="33"/>
      <c r="V101" s="33">
        <f>-VLOOKUP(Table2[[#This Row],[Home Team]],home_lookup,3,FALSE)-VLOOKUP(B101,lookup,2,FALSE)+VLOOKUP(C101,lookup,2,FALSE)</f>
        <v>-1.3530594003924583</v>
      </c>
      <c r="W101" s="1">
        <f t="shared" si="12"/>
        <v>-2.1937500000000001</v>
      </c>
      <c r="X101" s="1">
        <f>Table2[[#This Row],[ERR (A)]]^2</f>
        <v>4.8125390625</v>
      </c>
      <c r="Y101" s="1">
        <f t="shared" si="15"/>
        <v>-1.6469405996075417</v>
      </c>
      <c r="Z101" s="1">
        <f>Table2[[#This Row],[ERR (B)]]^2</f>
        <v>2.712413338635649</v>
      </c>
      <c r="AA101" s="18">
        <f>Table2[[#This Row],[Pace (H)]]-Table2[[#This Row],[Pace (A)]]</f>
        <v>-6.1000000000000014</v>
      </c>
      <c r="AB101" s="19">
        <f>Table2[[#This Row],[Total EV]]-Table2[[#Totals],[Total EV]]</f>
        <v>3.1368420131472519</v>
      </c>
      <c r="AC101" s="19">
        <f>Table2[[#This Row],[Total EV]]-Table2[[#This Row],[Total (V)]]</f>
        <v>2.0085518246348784</v>
      </c>
      <c r="AD101" s="3">
        <f>Table2[[#This Row],[Margin (V)]]-Table2[[#This Row],[EV (A)]]</f>
        <v>1.8062499999999999</v>
      </c>
      <c r="AE101" t="b">
        <f>IF(VLOOKUP(Table2[[#This Row],[Home Team]],division_lookup,2,FALSE)=VLOOKUP(Table2[[#This Row],[Away Team]],division_lookup,2,FALSE),TRUE, FALSE)</f>
        <v>0</v>
      </c>
    </row>
    <row r="102" spans="1:31" x14ac:dyDescent="0.25">
      <c r="A102">
        <v>7</v>
      </c>
      <c r="B102" t="s">
        <v>17</v>
      </c>
      <c r="C102" t="s">
        <v>16</v>
      </c>
      <c r="D102">
        <v>27</v>
      </c>
      <c r="E102">
        <v>21</v>
      </c>
      <c r="F102" s="6">
        <f>VLOOKUP(Table2[[#This Row],[Home Team]],home_lookup,3,FALSE)+VLOOKUP(Table2[[#This Row],[Home Team]],off_pts_lookup,7,FALSE)+VLOOKUP(Table2[[#This Row],[Away Team]],def_diff_lookup,14,FALSE)</f>
        <v>31.705172522175637</v>
      </c>
      <c r="G102" s="6">
        <f>VLOOKUP(Table2[[#This Row],[Away Team]],off_pts_lookup,7,FALSE)+VLOOKUP(Table2[[#This Row],[Home Team]],def_diff_lookup,14,FALSE)</f>
        <v>24.327746212121209</v>
      </c>
      <c r="H102" s="3">
        <f>VLOOKUP(Table2[[#This Row],[Home Team]],pace_lookup,5,FALSE)</f>
        <v>62.1</v>
      </c>
      <c r="I102" s="3">
        <f>VLOOKUP(Table2[[#This Row],[Away Team]],pace_lookup,5,FALSE)</f>
        <v>69.400000000000006</v>
      </c>
      <c r="J102" s="13">
        <f t="shared" si="11"/>
        <v>48</v>
      </c>
      <c r="K102">
        <v>51.5</v>
      </c>
      <c r="N102" s="33">
        <f>Table2[[#This Row],[Home EV]]+Table2[[#This Row],[Away EV]]</f>
        <v>56.032918734296842</v>
      </c>
      <c r="O102" s="13">
        <f t="shared" si="14"/>
        <v>-6</v>
      </c>
      <c r="P102">
        <v>-6.5</v>
      </c>
      <c r="Q10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2" s="33">
        <v>-7.35</v>
      </c>
      <c r="S102" s="33">
        <f t="shared" si="13"/>
        <v>-4.5062499999999996</v>
      </c>
      <c r="T102" s="33"/>
      <c r="U102" s="33"/>
      <c r="V102" s="33">
        <f>-VLOOKUP(Table2[[#This Row],[Home Team]],home_lookup,3,FALSE)-VLOOKUP(B102,lookup,2,FALSE)+VLOOKUP(C102,lookup,2,FALSE)</f>
        <v>-5.3774263100544273</v>
      </c>
      <c r="W102" s="1">
        <f t="shared" si="12"/>
        <v>-1.4937500000000004</v>
      </c>
      <c r="X102" s="1">
        <f>Table2[[#This Row],[ERR (A)]]^2</f>
        <v>2.231289062500001</v>
      </c>
      <c r="Y102" s="1">
        <f t="shared" si="15"/>
        <v>-0.62257368994557272</v>
      </c>
      <c r="Z102" s="1">
        <f>Table2[[#This Row],[ERR (B)]]^2</f>
        <v>0.3875979994124461</v>
      </c>
      <c r="AA102" s="18">
        <f>Table2[[#This Row],[Pace (H)]]-Table2[[#This Row],[Pace (A)]]</f>
        <v>-7.3000000000000043</v>
      </c>
      <c r="AB102" s="19">
        <f>Table2[[#This Row],[Total EV]]-Table2[[#Totals],[Total EV]]</f>
        <v>7.1612089228092159</v>
      </c>
      <c r="AC102" s="19">
        <f>Table2[[#This Row],[Total EV]]-Table2[[#This Row],[Total (V)]]</f>
        <v>4.5329187342968424</v>
      </c>
      <c r="AD102" s="3">
        <f>Table2[[#This Row],[Margin (V)]]-Table2[[#This Row],[EV (A)]]</f>
        <v>-1.9937500000000004</v>
      </c>
      <c r="AE102" t="b">
        <f>IF(VLOOKUP(Table2[[#This Row],[Home Team]],division_lookup,2,FALSE)=VLOOKUP(Table2[[#This Row],[Away Team]],division_lookup,2,FALSE),TRUE, FALSE)</f>
        <v>0</v>
      </c>
    </row>
    <row r="103" spans="1:31" x14ac:dyDescent="0.25">
      <c r="A103">
        <v>7</v>
      </c>
      <c r="B103" t="s">
        <v>8</v>
      </c>
      <c r="C103" t="s">
        <v>5</v>
      </c>
      <c r="D103">
        <v>24</v>
      </c>
      <c r="E103">
        <v>16</v>
      </c>
      <c r="F103" s="6">
        <f>VLOOKUP(Table2[[#This Row],[Home Team]],home_lookup,3,FALSE)+VLOOKUP(Table2[[#This Row],[Home Team]],off_pts_lookup,7,FALSE)+VLOOKUP(Table2[[#This Row],[Away Team]],def_diff_lookup,14,FALSE)</f>
        <v>17.856807586320137</v>
      </c>
      <c r="G103" s="6">
        <f>VLOOKUP(Table2[[#This Row],[Away Team]],off_pts_lookup,7,FALSE)+VLOOKUP(Table2[[#This Row],[Home Team]],def_diff_lookup,14,FALSE)</f>
        <v>21.427746212121214</v>
      </c>
      <c r="H103" s="3">
        <f>VLOOKUP(Table2[[#This Row],[Home Team]],pace_lookup,5,FALSE)</f>
        <v>62.6</v>
      </c>
      <c r="I103" s="3">
        <f>VLOOKUP(Table2[[#This Row],[Away Team]],pace_lookup,5,FALSE)</f>
        <v>67.400000000000006</v>
      </c>
      <c r="J103" s="13">
        <f t="shared" si="11"/>
        <v>40</v>
      </c>
      <c r="K103">
        <v>40.5</v>
      </c>
      <c r="N103" s="33">
        <f>Table2[[#This Row],[Home EV]]+Table2[[#This Row],[Away EV]]</f>
        <v>39.284553798441351</v>
      </c>
      <c r="O103" s="13">
        <f t="shared" si="14"/>
        <v>-8</v>
      </c>
      <c r="P103">
        <v>-2</v>
      </c>
      <c r="Q10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3" s="33">
        <v>2.27</v>
      </c>
      <c r="S103" s="33">
        <f t="shared" si="13"/>
        <v>2.5937500000000004</v>
      </c>
      <c r="T103" s="33"/>
      <c r="U103" s="33"/>
      <c r="V103" s="33">
        <f>-VLOOKUP(Table2[[#This Row],[Home Team]],home_lookup,3,FALSE)-VLOOKUP(B103,lookup,2,FALSE)+VLOOKUP(C103,lookup,2,FALSE)</f>
        <v>1.3709386258010761</v>
      </c>
      <c r="W103" s="1">
        <f t="shared" si="12"/>
        <v>-10.59375</v>
      </c>
      <c r="X103" s="1">
        <f>Table2[[#This Row],[ERR (A)]]^2</f>
        <v>112.2275390625</v>
      </c>
      <c r="Y103" s="1">
        <f t="shared" si="15"/>
        <v>-9.3709386258010756</v>
      </c>
      <c r="Z103" s="1">
        <f>Table2[[#This Row],[ERR (B)]]^2</f>
        <v>87.814490728530558</v>
      </c>
      <c r="AA103" s="18">
        <f>Table2[[#This Row],[Pace (H)]]-Table2[[#This Row],[Pace (A)]]</f>
        <v>-4.8000000000000043</v>
      </c>
      <c r="AB103" s="19">
        <f>Table2[[#This Row],[Total EV]]-Table2[[#Totals],[Total EV]]</f>
        <v>-9.5871560130462754</v>
      </c>
      <c r="AC103" s="19">
        <f>Table2[[#This Row],[Total EV]]-Table2[[#This Row],[Total (V)]]</f>
        <v>-1.2154462015586489</v>
      </c>
      <c r="AD103" s="3">
        <f>Table2[[#This Row],[Margin (V)]]-Table2[[#This Row],[EV (A)]]</f>
        <v>-4.59375</v>
      </c>
      <c r="AE103" t="b">
        <f>IF(VLOOKUP(Table2[[#This Row],[Home Team]],division_lookup,2,FALSE)=VLOOKUP(Table2[[#This Row],[Away Team]],division_lookup,2,FALSE),TRUE, FALSE)</f>
        <v>0</v>
      </c>
    </row>
    <row r="104" spans="1:31" x14ac:dyDescent="0.25">
      <c r="A104">
        <v>7</v>
      </c>
      <c r="B104" t="s">
        <v>20</v>
      </c>
      <c r="C104" t="s">
        <v>18</v>
      </c>
      <c r="D104">
        <v>30</v>
      </c>
      <c r="E104">
        <v>33</v>
      </c>
      <c r="F104" s="6">
        <f>VLOOKUP(Table2[[#This Row],[Home Team]],home_lookup,3,FALSE)+VLOOKUP(Table2[[#This Row],[Home Team]],off_pts_lookup,7,FALSE)+VLOOKUP(Table2[[#This Row],[Away Team]],def_diff_lookup,14,FALSE)</f>
        <v>31.90626584618899</v>
      </c>
      <c r="G104" s="6">
        <f>VLOOKUP(Table2[[#This Row],[Away Team]],off_pts_lookup,7,FALSE)+VLOOKUP(Table2[[#This Row],[Home Team]],def_diff_lookup,14,FALSE)</f>
        <v>34.62774621212121</v>
      </c>
      <c r="H104" s="3">
        <f>VLOOKUP(Table2[[#This Row],[Home Team]],pace_lookup,5,FALSE)</f>
        <v>61.9</v>
      </c>
      <c r="I104" s="3">
        <f>VLOOKUP(Table2[[#This Row],[Away Team]],pace_lookup,5,FALSE)</f>
        <v>66.400000000000006</v>
      </c>
      <c r="J104" s="13">
        <f t="shared" si="11"/>
        <v>63</v>
      </c>
      <c r="K104">
        <v>53</v>
      </c>
      <c r="N104" s="33">
        <f>Table2[[#This Row],[Home EV]]+Table2[[#This Row],[Away EV]]</f>
        <v>66.534012058310196</v>
      </c>
      <c r="O104" s="13">
        <f t="shared" si="14"/>
        <v>3</v>
      </c>
      <c r="P104">
        <v>-5</v>
      </c>
      <c r="Q10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4" s="33">
        <v>-8.6199999999999992</v>
      </c>
      <c r="S104" s="33">
        <f t="shared" si="13"/>
        <v>-6.2062500000000007</v>
      </c>
      <c r="T104" s="33"/>
      <c r="U104" s="33"/>
      <c r="V104" s="33">
        <f>-VLOOKUP(Table2[[#This Row],[Home Team]],home_lookup,3,FALSE)-VLOOKUP(B104,lookup,2,FALSE)+VLOOKUP(C104,lookup,2,FALSE)</f>
        <v>1.7214803659322184</v>
      </c>
      <c r="W104" s="1">
        <f t="shared" si="12"/>
        <v>9.2062500000000007</v>
      </c>
      <c r="X104" s="1">
        <f>Table2[[#This Row],[ERR (A)]]^2</f>
        <v>84.755039062500018</v>
      </c>
      <c r="Y104" s="1">
        <f t="shared" si="15"/>
        <v>1.2785196340677816</v>
      </c>
      <c r="Z104" s="1">
        <f>Table2[[#This Row],[ERR (B)]]^2</f>
        <v>1.6346124546968142</v>
      </c>
      <c r="AA104" s="18">
        <f>Table2[[#This Row],[Pace (H)]]-Table2[[#This Row],[Pace (A)]]</f>
        <v>-4.5000000000000071</v>
      </c>
      <c r="AB104" s="19">
        <f>Table2[[#This Row],[Total EV]]-Table2[[#Totals],[Total EV]]</f>
        <v>17.66230224682257</v>
      </c>
      <c r="AC104" s="19">
        <f>Table2[[#This Row],[Total EV]]-Table2[[#This Row],[Total (V)]]</f>
        <v>13.534012058310196</v>
      </c>
      <c r="AD104" s="3">
        <f>Table2[[#This Row],[Margin (V)]]-Table2[[#This Row],[EV (A)]]</f>
        <v>1.2062500000000007</v>
      </c>
      <c r="AE104" t="b">
        <f>IF(VLOOKUP(Table2[[#This Row],[Home Team]],division_lookup,2,FALSE)=VLOOKUP(Table2[[#This Row],[Away Team]],division_lookup,2,FALSE),TRUE, FALSE)</f>
        <v>0</v>
      </c>
    </row>
    <row r="105" spans="1:31" x14ac:dyDescent="0.25">
      <c r="A105">
        <v>7</v>
      </c>
      <c r="B105" t="s">
        <v>31</v>
      </c>
      <c r="C105" t="s">
        <v>19</v>
      </c>
      <c r="D105">
        <v>17</v>
      </c>
      <c r="E105">
        <v>34</v>
      </c>
      <c r="F105" s="6">
        <f>VLOOKUP(Table2[[#This Row],[Home Team]],home_lookup,3,FALSE)+VLOOKUP(Table2[[#This Row],[Home Team]],off_pts_lookup,7,FALSE)+VLOOKUP(Table2[[#This Row],[Away Team]],def_diff_lookup,14,FALSE)</f>
        <v>33.190382244393319</v>
      </c>
      <c r="G105" s="6">
        <f>VLOOKUP(Table2[[#This Row],[Away Team]],off_pts_lookup,7,FALSE)+VLOOKUP(Table2[[#This Row],[Home Team]],def_diff_lookup,14,FALSE)</f>
        <v>31.92774621212121</v>
      </c>
      <c r="H105" s="3">
        <f>VLOOKUP(Table2[[#This Row],[Home Team]],pace_lookup,5,FALSE)</f>
        <v>63</v>
      </c>
      <c r="I105" s="3">
        <f>VLOOKUP(Table2[[#This Row],[Away Team]],pace_lookup,5,FALSE)</f>
        <v>69.900000000000006</v>
      </c>
      <c r="J105" s="13">
        <f t="shared" si="11"/>
        <v>51</v>
      </c>
      <c r="K105">
        <v>45.5</v>
      </c>
      <c r="N105" s="33">
        <f>Table2[[#This Row],[Home EV]]+Table2[[#This Row],[Away EV]]</f>
        <v>65.118128456514526</v>
      </c>
      <c r="O105" s="13">
        <f t="shared" si="14"/>
        <v>17</v>
      </c>
      <c r="P105">
        <v>-1</v>
      </c>
      <c r="Q10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5" s="33">
        <v>-8.48</v>
      </c>
      <c r="S105" s="33">
        <f t="shared" si="13"/>
        <v>3.2937500000000006</v>
      </c>
      <c r="T105" s="33"/>
      <c r="U105" s="33"/>
      <c r="V105" s="33">
        <f>-VLOOKUP(Table2[[#This Row],[Home Team]],home_lookup,3,FALSE)-VLOOKUP(B105,lookup,2,FALSE)+VLOOKUP(C105,lookup,2,FALSE)</f>
        <v>-3.5626360322721067</v>
      </c>
      <c r="W105" s="1">
        <f t="shared" si="12"/>
        <v>13.706249999999999</v>
      </c>
      <c r="X105" s="1">
        <f>Table2[[#This Row],[ERR (A)]]^2</f>
        <v>187.86128906249996</v>
      </c>
      <c r="Y105" s="1">
        <f t="shared" si="15"/>
        <v>20.562636032272106</v>
      </c>
      <c r="Z105" s="1">
        <f>Table2[[#This Row],[ERR (B)]]^2</f>
        <v>422.82200059569516</v>
      </c>
      <c r="AA105" s="18">
        <f>Table2[[#This Row],[Pace (H)]]-Table2[[#This Row],[Pace (A)]]</f>
        <v>-6.9000000000000057</v>
      </c>
      <c r="AB105" s="19">
        <f>Table2[[#This Row],[Total EV]]-Table2[[#Totals],[Total EV]]</f>
        <v>16.2464186450269</v>
      </c>
      <c r="AC105" s="19">
        <f>Table2[[#This Row],[Total EV]]-Table2[[#This Row],[Total (V)]]</f>
        <v>19.618128456514526</v>
      </c>
      <c r="AD105" s="3">
        <f>Table2[[#This Row],[Margin (V)]]-Table2[[#This Row],[EV (A)]]</f>
        <v>-4.2937500000000011</v>
      </c>
      <c r="AE105" t="b">
        <f>IF(VLOOKUP(Table2[[#This Row],[Home Team]],division_lookup,2,FALSE)=VLOOKUP(Table2[[#This Row],[Away Team]],division_lookup,2,FALSE),TRUE, FALSE)</f>
        <v>0</v>
      </c>
    </row>
    <row r="106" spans="1:31" x14ac:dyDescent="0.25">
      <c r="A106">
        <v>7</v>
      </c>
      <c r="B106" t="s">
        <v>29</v>
      </c>
      <c r="C106" t="s">
        <v>27</v>
      </c>
      <c r="D106">
        <v>16</v>
      </c>
      <c r="E106">
        <v>27</v>
      </c>
      <c r="F106" s="6">
        <f>VLOOKUP(Table2[[#This Row],[Home Team]],home_lookup,3,FALSE)+VLOOKUP(Table2[[#This Row],[Home Team]],off_pts_lookup,7,FALSE)+VLOOKUP(Table2[[#This Row],[Away Team]],def_diff_lookup,14,FALSE)</f>
        <v>26.40989118731947</v>
      </c>
      <c r="G106" s="6">
        <f>VLOOKUP(Table2[[#This Row],[Away Team]],off_pts_lookup,7,FALSE)+VLOOKUP(Table2[[#This Row],[Home Team]],def_diff_lookup,14,FALSE)</f>
        <v>25.727746212121211</v>
      </c>
      <c r="H106" s="3">
        <f>VLOOKUP(Table2[[#This Row],[Home Team]],pace_lookup,5,FALSE)</f>
        <v>64.400000000000006</v>
      </c>
      <c r="I106" s="3">
        <f>VLOOKUP(Table2[[#This Row],[Away Team]],pace_lookup,5,FALSE)</f>
        <v>63.9</v>
      </c>
      <c r="J106" s="13">
        <f t="shared" si="11"/>
        <v>43</v>
      </c>
      <c r="K106">
        <v>49.5</v>
      </c>
      <c r="N106" s="33">
        <f>Table2[[#This Row],[Home EV]]+Table2[[#This Row],[Away EV]]</f>
        <v>52.137637399440678</v>
      </c>
      <c r="O106" s="13">
        <f t="shared" si="14"/>
        <v>11</v>
      </c>
      <c r="P106">
        <v>7.5</v>
      </c>
      <c r="Q10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6" s="33">
        <v>-1.07</v>
      </c>
      <c r="S106" s="33">
        <f t="shared" si="13"/>
        <v>2.9937500000000004</v>
      </c>
      <c r="T106" s="33"/>
      <c r="U106" s="33"/>
      <c r="V106" s="33">
        <f>-VLOOKUP(Table2[[#This Row],[Home Team]],home_lookup,3,FALSE)-VLOOKUP(B106,lookup,2,FALSE)+VLOOKUP(C106,lookup,2,FALSE)</f>
        <v>-1.5821449751982559</v>
      </c>
      <c r="W106" s="1">
        <f t="shared" si="12"/>
        <v>8.0062499999999996</v>
      </c>
      <c r="X106" s="1">
        <f>Table2[[#This Row],[ERR (A)]]^2</f>
        <v>64.100039062499988</v>
      </c>
      <c r="Y106" s="1">
        <f t="shared" si="15"/>
        <v>12.582144975198256</v>
      </c>
      <c r="Z106" s="1">
        <f>Table2[[#This Row],[ERR (B)]]^2</f>
        <v>158.31037217690672</v>
      </c>
      <c r="AA106" s="18">
        <f>Table2[[#This Row],[Pace (H)]]-Table2[[#This Row],[Pace (A)]]</f>
        <v>0.50000000000000711</v>
      </c>
      <c r="AB106" s="19">
        <f>Table2[[#This Row],[Total EV]]-Table2[[#Totals],[Total EV]]</f>
        <v>3.2659275879530512</v>
      </c>
      <c r="AC106" s="19">
        <f>Table2[[#This Row],[Total EV]]-Table2[[#This Row],[Total (V)]]</f>
        <v>2.6376373994406777</v>
      </c>
      <c r="AD106" s="3">
        <f>Table2[[#This Row],[Margin (V)]]-Table2[[#This Row],[EV (A)]]</f>
        <v>4.5062499999999996</v>
      </c>
      <c r="AE106" t="b">
        <f>IF(VLOOKUP(Table2[[#This Row],[Home Team]],division_lookup,2,FALSE)=VLOOKUP(Table2[[#This Row],[Away Team]],division_lookup,2,FALSE),TRUE, FALSE)</f>
        <v>0</v>
      </c>
    </row>
    <row r="107" spans="1:31" x14ac:dyDescent="0.25">
      <c r="A107">
        <v>7</v>
      </c>
      <c r="B107" t="s">
        <v>28</v>
      </c>
      <c r="C107" t="s">
        <v>21</v>
      </c>
      <c r="D107">
        <v>6</v>
      </c>
      <c r="E107">
        <v>6</v>
      </c>
      <c r="F107" s="6">
        <f>VLOOKUP(Table2[[#This Row],[Home Team]],home_lookup,3,FALSE)+VLOOKUP(Table2[[#This Row],[Home Team]],off_pts_lookup,7,FALSE)+VLOOKUP(Table2[[#This Row],[Away Team]],def_diff_lookup,14,FALSE)</f>
        <v>20.982451190521768</v>
      </c>
      <c r="G107" s="6">
        <f>VLOOKUP(Table2[[#This Row],[Away Team]],off_pts_lookup,7,FALSE)+VLOOKUP(Table2[[#This Row],[Home Team]],def_diff_lookup,14,FALSE)</f>
        <v>18.027746212121208</v>
      </c>
      <c r="H107" s="3">
        <f>VLOOKUP(Table2[[#This Row],[Home Team]],pace_lookup,5,FALSE)</f>
        <v>71</v>
      </c>
      <c r="I107" s="3">
        <f>VLOOKUP(Table2[[#This Row],[Away Team]],pace_lookup,5,FALSE)</f>
        <v>61.1</v>
      </c>
      <c r="J107" s="13">
        <f t="shared" si="11"/>
        <v>12</v>
      </c>
      <c r="K107">
        <v>43</v>
      </c>
      <c r="N107" s="33">
        <f>Table2[[#This Row],[Home EV]]+Table2[[#This Row],[Away EV]]</f>
        <v>39.010197402642973</v>
      </c>
      <c r="O107" s="13">
        <f t="shared" si="14"/>
        <v>0</v>
      </c>
      <c r="P107">
        <v>-2.5</v>
      </c>
      <c r="Q10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07" s="33">
        <v>-2.54</v>
      </c>
      <c r="S107" s="33">
        <f t="shared" si="13"/>
        <v>-0.50625000000000053</v>
      </c>
      <c r="T107" s="33"/>
      <c r="U107" s="33"/>
      <c r="V107" s="33">
        <f>-VLOOKUP(Table2[[#This Row],[Home Team]],home_lookup,3,FALSE)-VLOOKUP(B107,lookup,2,FALSE)+VLOOKUP(C107,lookup,2,FALSE)</f>
        <v>-3.0547049784005615</v>
      </c>
      <c r="W107" s="1">
        <f t="shared" si="12"/>
        <v>0.50625000000000053</v>
      </c>
      <c r="X107" s="1">
        <f>Table2[[#This Row],[ERR (A)]]^2</f>
        <v>0.25628906250000055</v>
      </c>
      <c r="Y107" s="1">
        <f t="shared" si="15"/>
        <v>3.0547049784005615</v>
      </c>
      <c r="Z107" s="1">
        <f>Table2[[#This Row],[ERR (B)]]^2</f>
        <v>9.3312225050651758</v>
      </c>
      <c r="AA107" s="18">
        <f>Table2[[#This Row],[Pace (H)]]-Table2[[#This Row],[Pace (A)]]</f>
        <v>9.8999999999999986</v>
      </c>
      <c r="AB107" s="19">
        <f>Table2[[#This Row],[Total EV]]-Table2[[#Totals],[Total EV]]</f>
        <v>-9.8615124088446535</v>
      </c>
      <c r="AC107" s="19">
        <f>Table2[[#This Row],[Total EV]]-Table2[[#This Row],[Total (V)]]</f>
        <v>-3.989802597357027</v>
      </c>
      <c r="AD107" s="3">
        <f>Table2[[#This Row],[Margin (V)]]-Table2[[#This Row],[EV (A)]]</f>
        <v>-1.9937499999999995</v>
      </c>
      <c r="AE107" t="b">
        <f>IF(VLOOKUP(Table2[[#This Row],[Home Team]],division_lookup,2,FALSE)=VLOOKUP(Table2[[#This Row],[Away Team]],division_lookup,2,FALSE),TRUE, FALSE)</f>
        <v>1</v>
      </c>
    </row>
    <row r="108" spans="1:31" ht="15.75" thickBot="1" x14ac:dyDescent="0.3">
      <c r="A108" s="9">
        <v>7</v>
      </c>
      <c r="B108" s="9" t="s">
        <v>1</v>
      </c>
      <c r="C108" s="9" t="s">
        <v>9</v>
      </c>
      <c r="D108" s="9">
        <v>27</v>
      </c>
      <c r="E108" s="9">
        <v>9</v>
      </c>
      <c r="F108" s="30">
        <f>VLOOKUP(Table2[[#This Row],[Home Team]],home_lookup,3,FALSE)+VLOOKUP(Table2[[#This Row],[Home Team]],off_pts_lookup,7,FALSE)+VLOOKUP(Table2[[#This Row],[Away Team]],def_diff_lookup,14,FALSE)</f>
        <v>23.576675263108303</v>
      </c>
      <c r="G108" s="30">
        <f>VLOOKUP(Table2[[#This Row],[Away Team]],off_pts_lookup,7,FALSE)+VLOOKUP(Table2[[#This Row],[Home Team]],def_diff_lookup,14,FALSE)</f>
        <v>13.916635101010097</v>
      </c>
      <c r="H108" s="15">
        <f>VLOOKUP(Table2[[#This Row],[Home Team]],pace_lookup,5,FALSE)</f>
        <v>64</v>
      </c>
      <c r="I108" s="15">
        <f>VLOOKUP(Table2[[#This Row],[Away Team]],pace_lookup,5,FALSE)</f>
        <v>65.777777777777771</v>
      </c>
      <c r="J108" s="14">
        <f t="shared" si="11"/>
        <v>36</v>
      </c>
      <c r="K108" s="9">
        <v>40</v>
      </c>
      <c r="L108" s="9"/>
      <c r="M108" s="9"/>
      <c r="N108" s="34">
        <f>Table2[[#This Row],[Home EV]]+Table2[[#This Row],[Away EV]]</f>
        <v>37.4933103641184</v>
      </c>
      <c r="O108" s="14">
        <f t="shared" si="14"/>
        <v>-18</v>
      </c>
      <c r="P108" s="9">
        <v>-8.5</v>
      </c>
      <c r="Q108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08" s="34">
        <v>-12.01</v>
      </c>
      <c r="S108" s="34">
        <f t="shared" si="13"/>
        <v>-12.006250000000001</v>
      </c>
      <c r="T108" s="34"/>
      <c r="U108" s="34"/>
      <c r="V108" s="34">
        <f>-VLOOKUP(Table2[[#This Row],[Home Team]],home_lookup,3,FALSE)-VLOOKUP(B108,lookup,2,FALSE)+VLOOKUP(C108,lookup,2,FALSE)</f>
        <v>-10.76004016209821</v>
      </c>
      <c r="W108" s="16">
        <f t="shared" si="12"/>
        <v>-5.9937499999999986</v>
      </c>
      <c r="X108" s="16">
        <f>Table2[[#This Row],[ERR (A)]]^2</f>
        <v>35.925039062499984</v>
      </c>
      <c r="Y108" s="16">
        <f t="shared" si="15"/>
        <v>-7.2399598379017895</v>
      </c>
      <c r="Z108" s="16">
        <f>Table2[[#This Row],[ERR (B)]]^2</f>
        <v>52.417018454430909</v>
      </c>
      <c r="AA108" s="24">
        <f>Table2[[#This Row],[Pace (H)]]-Table2[[#This Row],[Pace (A)]]</f>
        <v>-1.7777777777777715</v>
      </c>
      <c r="AB108" s="15">
        <f>Table2[[#This Row],[Total EV]]-Table2[[#Totals],[Total EV]]</f>
        <v>-11.378399447369226</v>
      </c>
      <c r="AC108" s="15">
        <f>Table2[[#This Row],[Total EV]]-Table2[[#This Row],[Total (V)]]</f>
        <v>-2.5066896358815995</v>
      </c>
      <c r="AD108" s="15">
        <f>Table2[[#This Row],[Margin (V)]]-Table2[[#This Row],[EV (A)]]</f>
        <v>3.5062500000000014</v>
      </c>
      <c r="AE108" s="9" t="b">
        <f>IF(VLOOKUP(Table2[[#This Row],[Home Team]],division_lookup,2,FALSE)=VLOOKUP(Table2[[#This Row],[Away Team]],division_lookup,2,FALSE),TRUE, FALSE)</f>
        <v>0</v>
      </c>
    </row>
    <row r="109" spans="1:31" x14ac:dyDescent="0.25">
      <c r="A109">
        <v>8</v>
      </c>
      <c r="B109" t="s">
        <v>12</v>
      </c>
      <c r="C109" t="s">
        <v>4</v>
      </c>
      <c r="D109">
        <v>36</v>
      </c>
      <c r="E109">
        <v>22</v>
      </c>
      <c r="F109" s="6">
        <f>VLOOKUP(Table2[[#This Row],[Home Team]],home_lookup,3,FALSE)+VLOOKUP(Table2[[#This Row],[Home Team]],off_pts_lookup,7,FALSE)+VLOOKUP(Table2[[#This Row],[Away Team]],def_diff_lookup,14,FALSE)</f>
        <v>29.703021368215772</v>
      </c>
      <c r="G109" s="6">
        <f>VLOOKUP(Table2[[#This Row],[Away Team]],off_pts_lookup,7,FALSE)+VLOOKUP(Table2[[#This Row],[Home Team]],def_diff_lookup,14,FALSE)</f>
        <v>21.427746212121207</v>
      </c>
      <c r="H109" s="3">
        <f>VLOOKUP(Table2[[#This Row],[Home Team]],pace_lookup,5,FALSE)</f>
        <v>63.909090909090907</v>
      </c>
      <c r="I109" s="3">
        <f>VLOOKUP(Table2[[#This Row],[Away Team]],pace_lookup,5,FALSE)</f>
        <v>65.099999999999994</v>
      </c>
      <c r="J109" s="13">
        <f t="shared" si="11"/>
        <v>58</v>
      </c>
      <c r="K109">
        <v>43.5</v>
      </c>
      <c r="N109" s="33">
        <f>Table2[[#This Row],[Home EV]]+Table2[[#This Row],[Away EV]]</f>
        <v>51.130767580336979</v>
      </c>
      <c r="O109" s="13">
        <f t="shared" si="14"/>
        <v>-14</v>
      </c>
      <c r="P109">
        <v>-3</v>
      </c>
      <c r="Q10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09" s="33">
        <v>-5.34</v>
      </c>
      <c r="S109" s="33">
        <f t="shared" si="13"/>
        <v>-10.206249999999999</v>
      </c>
      <c r="T109" s="33"/>
      <c r="U109" s="33"/>
      <c r="V109" s="33">
        <f>-VLOOKUP(Table2[[#This Row],[Home Team]],home_lookup,3,FALSE)-VLOOKUP(B109,lookup,2,FALSE)+VLOOKUP(C109,lookup,2,FALSE)</f>
        <v>-7.8298206106400166</v>
      </c>
      <c r="W109" s="1">
        <f t="shared" si="12"/>
        <v>-3.7937500000000011</v>
      </c>
      <c r="X109" s="1">
        <f>Table2[[#This Row],[ERR (A)]]^2</f>
        <v>14.392539062500008</v>
      </c>
      <c r="Y109" s="1">
        <f t="shared" si="15"/>
        <v>-6.1701793893599834</v>
      </c>
      <c r="Z109" s="1">
        <f>Table2[[#This Row],[ERR (B)]]^2</f>
        <v>38.07111369688274</v>
      </c>
      <c r="AA109" s="18">
        <f>Table2[[#This Row],[Pace (H)]]-Table2[[#This Row],[Pace (A)]]</f>
        <v>-1.1909090909090878</v>
      </c>
      <c r="AB109" s="19">
        <f>Table2[[#This Row],[Total EV]]-Table2[[#Totals],[Total EV]]</f>
        <v>2.2590577688493525</v>
      </c>
      <c r="AC109" s="19">
        <f>Table2[[#This Row],[Total EV]]-Table2[[#This Row],[Total (V)]]</f>
        <v>7.630767580336979</v>
      </c>
      <c r="AD109" s="3">
        <f>Table2[[#This Row],[Margin (V)]]-Table2[[#This Row],[EV (A)]]</f>
        <v>7.2062499999999989</v>
      </c>
      <c r="AE109" t="b">
        <f>IF(VLOOKUP(Table2[[#This Row],[Home Team]],division_lookup,2,FALSE)=VLOOKUP(Table2[[#This Row],[Away Team]],division_lookup,2,FALSE),TRUE, FALSE)</f>
        <v>1</v>
      </c>
    </row>
    <row r="110" spans="1:31" x14ac:dyDescent="0.25">
      <c r="A110">
        <v>8</v>
      </c>
      <c r="B110" t="s">
        <v>7</v>
      </c>
      <c r="C110" t="s">
        <v>30</v>
      </c>
      <c r="D110">
        <v>27</v>
      </c>
      <c r="E110">
        <v>27</v>
      </c>
      <c r="F110" s="6">
        <f>VLOOKUP(Table2[[#This Row],[Home Team]],home_lookup,3,FALSE)+VLOOKUP(Table2[[#This Row],[Home Team]],off_pts_lookup,7,FALSE)+VLOOKUP(Table2[[#This Row],[Away Team]],def_diff_lookup,14,FALSE)</f>
        <v>24.657546053561319</v>
      </c>
      <c r="G110" s="6">
        <f>VLOOKUP(Table2[[#This Row],[Away Team]],off_pts_lookup,7,FALSE)+VLOOKUP(Table2[[#This Row],[Home Team]],def_diff_lookup,14,FALSE)</f>
        <v>25.127746212121213</v>
      </c>
      <c r="H110" s="3">
        <f>VLOOKUP(Table2[[#This Row],[Home Team]],pace_lookup,5,FALSE)</f>
        <v>65.900000000000006</v>
      </c>
      <c r="I110" s="3">
        <f>VLOOKUP(Table2[[#This Row],[Away Team]],pace_lookup,5,FALSE)</f>
        <v>65.5</v>
      </c>
      <c r="J110" s="13">
        <f t="shared" si="11"/>
        <v>54</v>
      </c>
      <c r="K110">
        <v>49.5</v>
      </c>
      <c r="N110" s="33">
        <f>Table2[[#This Row],[Home EV]]+Table2[[#This Row],[Away EV]]</f>
        <v>49.785292265682529</v>
      </c>
      <c r="O110" s="13">
        <f t="shared" si="14"/>
        <v>0</v>
      </c>
      <c r="P110">
        <v>-3</v>
      </c>
      <c r="Q11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10" s="33">
        <v>0.56999999999999995</v>
      </c>
      <c r="S110" s="33">
        <f>-VLOOKUP(B110,lookup,2,FALSE)+VLOOKUP(C110,lookup,2,FALSE)</f>
        <v>2</v>
      </c>
      <c r="T110" s="33"/>
      <c r="U110" s="33"/>
      <c r="V110" s="33">
        <f>-VLOOKUP(Table2[[#This Row],[Home Team]],home_lookup,3,FALSE)-VLOOKUP(B110,lookup,2,FALSE)+VLOOKUP(C110,lookup,2,FALSE)</f>
        <v>-2.3297998414401073</v>
      </c>
      <c r="W110" s="1">
        <f t="shared" si="12"/>
        <v>-2</v>
      </c>
      <c r="X110" s="1">
        <f>Table2[[#This Row],[ERR (A)]]^2</f>
        <v>4</v>
      </c>
      <c r="Y110" s="1">
        <f t="shared" si="15"/>
        <v>2.3297998414401073</v>
      </c>
      <c r="Z110" s="1">
        <f>Table2[[#This Row],[ERR (B)]]^2</f>
        <v>5.4279673011743492</v>
      </c>
      <c r="AA110" s="18">
        <f>Table2[[#This Row],[Pace (H)]]-Table2[[#This Row],[Pace (A)]]</f>
        <v>0.40000000000000568</v>
      </c>
      <c r="AB110" s="19">
        <f>Table2[[#This Row],[Total EV]]-Table2[[#Totals],[Total EV]]</f>
        <v>0.91358245419490203</v>
      </c>
      <c r="AC110" s="19">
        <f>Table2[[#This Row],[Total EV]]-Table2[[#This Row],[Total (V)]]</f>
        <v>0.28529226568252852</v>
      </c>
      <c r="AD110" s="3">
        <f>Table2[[#This Row],[Margin (V)]]-Table2[[#This Row],[EV (A)]]</f>
        <v>-5</v>
      </c>
      <c r="AE110" t="b">
        <f>IF(VLOOKUP(Table2[[#This Row],[Home Team]],division_lookup,2,FALSE)=VLOOKUP(Table2[[#This Row],[Away Team]],division_lookup,2,FALSE),TRUE, FALSE)</f>
        <v>0</v>
      </c>
    </row>
    <row r="111" spans="1:31" x14ac:dyDescent="0.25">
      <c r="A111">
        <v>8</v>
      </c>
      <c r="B111" t="s">
        <v>2</v>
      </c>
      <c r="C111" t="s">
        <v>28</v>
      </c>
      <c r="D111">
        <v>30</v>
      </c>
      <c r="E111">
        <v>20</v>
      </c>
      <c r="F111" s="6">
        <f>VLOOKUP(Table2[[#This Row],[Home Team]],home_lookup,3,FALSE)+VLOOKUP(Table2[[#This Row],[Home Team]],off_pts_lookup,7,FALSE)+VLOOKUP(Table2[[#This Row],[Away Team]],def_diff_lookup,14,FALSE)</f>
        <v>22.480811574940532</v>
      </c>
      <c r="G111" s="6">
        <f>VLOOKUP(Table2[[#This Row],[Away Team]],off_pts_lookup,7,FALSE)+VLOOKUP(Table2[[#This Row],[Home Team]],def_diff_lookup,14,FALSE)</f>
        <v>24.327746212121212</v>
      </c>
      <c r="H111" s="3">
        <f>VLOOKUP(Table2[[#This Row],[Home Team]],pace_lookup,5,FALSE)</f>
        <v>66.8</v>
      </c>
      <c r="I111" s="3">
        <f>VLOOKUP(Table2[[#This Row],[Away Team]],pace_lookup,5,FALSE)</f>
        <v>71</v>
      </c>
      <c r="J111" s="13">
        <f t="shared" si="11"/>
        <v>50</v>
      </c>
      <c r="K111">
        <v>45.5</v>
      </c>
      <c r="N111" s="33">
        <f>Table2[[#This Row],[Home EV]]+Table2[[#This Row],[Away EV]]</f>
        <v>46.808557787061744</v>
      </c>
      <c r="O111" s="13">
        <f t="shared" si="14"/>
        <v>-10</v>
      </c>
      <c r="P111">
        <v>-2.5</v>
      </c>
      <c r="Q11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1" s="33">
        <v>0.76</v>
      </c>
      <c r="S111" s="33">
        <f t="shared" ref="S111:S148" si="16">-home-VLOOKUP(B111,lookup,2,FALSE)+VLOOKUP(C111,lookup,2,FALSE)</f>
        <v>-0.50624999999999964</v>
      </c>
      <c r="T111" s="33"/>
      <c r="U111" s="33"/>
      <c r="V111" s="33">
        <f>-VLOOKUP(Table2[[#This Row],[Home Team]],home_lookup,3,FALSE)-VLOOKUP(B111,lookup,2,FALSE)+VLOOKUP(C111,lookup,2,FALSE)</f>
        <v>0.44693463718067772</v>
      </c>
      <c r="W111" s="1">
        <f t="shared" si="12"/>
        <v>-9.4937500000000004</v>
      </c>
      <c r="X111" s="1">
        <f>Table2[[#This Row],[ERR (A)]]^2</f>
        <v>90.131289062500002</v>
      </c>
      <c r="Y111" s="1">
        <f t="shared" si="15"/>
        <v>-10.446934637180679</v>
      </c>
      <c r="Z111" s="1">
        <f>Table2[[#This Row],[ERR (B)]]^2</f>
        <v>109.1384433135254</v>
      </c>
      <c r="AA111" s="18">
        <f>Table2[[#This Row],[Pace (H)]]-Table2[[#This Row],[Pace (A)]]</f>
        <v>-4.2000000000000028</v>
      </c>
      <c r="AB111" s="19">
        <f>Table2[[#This Row],[Total EV]]-Table2[[#Totals],[Total EV]]</f>
        <v>-2.0631520244258823</v>
      </c>
      <c r="AC111" s="19">
        <f>Table2[[#This Row],[Total EV]]-Table2[[#This Row],[Total (V)]]</f>
        <v>1.3085577870617442</v>
      </c>
      <c r="AD111" s="3">
        <f>Table2[[#This Row],[Margin (V)]]-Table2[[#This Row],[EV (A)]]</f>
        <v>-1.9937500000000004</v>
      </c>
      <c r="AE111" t="b">
        <f>IF(VLOOKUP(Table2[[#This Row],[Home Team]],division_lookup,2,FALSE)=VLOOKUP(Table2[[#This Row],[Away Team]],division_lookup,2,FALSE),TRUE, FALSE)</f>
        <v>0</v>
      </c>
    </row>
    <row r="112" spans="1:31" x14ac:dyDescent="0.25">
      <c r="A112">
        <v>8</v>
      </c>
      <c r="B112" t="s">
        <v>19</v>
      </c>
      <c r="C112" t="s">
        <v>15</v>
      </c>
      <c r="D112">
        <v>24</v>
      </c>
      <c r="E112">
        <v>30</v>
      </c>
      <c r="F112" s="6">
        <f>VLOOKUP(Table2[[#This Row],[Home Team]],home_lookup,3,FALSE)+VLOOKUP(Table2[[#This Row],[Home Team]],off_pts_lookup,7,FALSE)+VLOOKUP(Table2[[#This Row],[Away Team]],def_diff_lookup,14,FALSE)</f>
        <v>24.880402085377735</v>
      </c>
      <c r="G112" s="6">
        <f>VLOOKUP(Table2[[#This Row],[Away Team]],off_pts_lookup,7,FALSE)+VLOOKUP(Table2[[#This Row],[Home Team]],def_diff_lookup,14,FALSE)</f>
        <v>30.249968434343433</v>
      </c>
      <c r="H112" s="3">
        <f>VLOOKUP(Table2[[#This Row],[Home Team]],pace_lookup,5,FALSE)</f>
        <v>69.900000000000006</v>
      </c>
      <c r="I112" s="3">
        <f>VLOOKUP(Table2[[#This Row],[Away Team]],pace_lookup,5,FALSE)</f>
        <v>67</v>
      </c>
      <c r="J112" s="13">
        <f t="shared" si="11"/>
        <v>54</v>
      </c>
      <c r="K112">
        <v>48</v>
      </c>
      <c r="N112" s="33">
        <f>Table2[[#This Row],[Home EV]]+Table2[[#This Row],[Away EV]]</f>
        <v>55.130370519721168</v>
      </c>
      <c r="O112" s="13">
        <f t="shared" si="14"/>
        <v>6</v>
      </c>
      <c r="P112">
        <v>0</v>
      </c>
      <c r="Q11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2" s="33">
        <v>-0.2</v>
      </c>
      <c r="S112" s="33">
        <f t="shared" si="16"/>
        <v>3.4937499999999999</v>
      </c>
      <c r="T112" s="33"/>
      <c r="U112" s="33"/>
      <c r="V112" s="33">
        <f>-VLOOKUP(Table2[[#This Row],[Home Team]],home_lookup,3,FALSE)-VLOOKUP(B112,lookup,2,FALSE)+VLOOKUP(C112,lookup,2,FALSE)</f>
        <v>6.9251219045212551</v>
      </c>
      <c r="W112" s="1">
        <f t="shared" si="12"/>
        <v>2.5062500000000001</v>
      </c>
      <c r="X112" s="1">
        <f>Table2[[#This Row],[ERR (A)]]^2</f>
        <v>6.2812890625000009</v>
      </c>
      <c r="Y112" s="1">
        <f t="shared" si="15"/>
        <v>-0.92512190452125509</v>
      </c>
      <c r="Z112" s="1">
        <f>Table2[[#This Row],[ERR (B)]]^2</f>
        <v>0.85585053822503421</v>
      </c>
      <c r="AA112" s="18">
        <f>Table2[[#This Row],[Pace (H)]]-Table2[[#This Row],[Pace (A)]]</f>
        <v>2.9000000000000057</v>
      </c>
      <c r="AB112" s="19">
        <f>Table2[[#This Row],[Total EV]]-Table2[[#Totals],[Total EV]]</f>
        <v>6.2586607082335419</v>
      </c>
      <c r="AC112" s="19">
        <f>Table2[[#This Row],[Total EV]]-Table2[[#This Row],[Total (V)]]</f>
        <v>7.1303705197211684</v>
      </c>
      <c r="AD112" s="3">
        <f>Table2[[#This Row],[Margin (V)]]-Table2[[#This Row],[EV (A)]]</f>
        <v>-3.4937499999999999</v>
      </c>
      <c r="AE112" t="b">
        <f>IF(VLOOKUP(Table2[[#This Row],[Home Team]],division_lookup,2,FALSE)=VLOOKUP(Table2[[#This Row],[Away Team]],division_lookup,2,FALSE),TRUE, FALSE)</f>
        <v>0</v>
      </c>
    </row>
    <row r="113" spans="1:31" x14ac:dyDescent="0.25">
      <c r="A113">
        <v>8</v>
      </c>
      <c r="B113" t="s">
        <v>24</v>
      </c>
      <c r="C113" t="s">
        <v>17</v>
      </c>
      <c r="D113">
        <v>14</v>
      </c>
      <c r="E113">
        <v>30</v>
      </c>
      <c r="F113" s="6">
        <f>VLOOKUP(Table2[[#This Row],[Home Team]],home_lookup,3,FALSE)+VLOOKUP(Table2[[#This Row],[Home Team]],off_pts_lookup,7,FALSE)+VLOOKUP(Table2[[#This Row],[Away Team]],def_diff_lookup,14,FALSE)</f>
        <v>21.839095567205096</v>
      </c>
      <c r="G113" s="6">
        <f>VLOOKUP(Table2[[#This Row],[Away Team]],off_pts_lookup,7,FALSE)+VLOOKUP(Table2[[#This Row],[Home Team]],def_diff_lookup,14,FALSE)</f>
        <v>26.627746212121206</v>
      </c>
      <c r="H113" s="3">
        <f>VLOOKUP(Table2[[#This Row],[Home Team]],pace_lookup,5,FALSE)</f>
        <v>65.5</v>
      </c>
      <c r="I113" s="3">
        <f>VLOOKUP(Table2[[#This Row],[Away Team]],pace_lookup,5,FALSE)</f>
        <v>62.1</v>
      </c>
      <c r="J113" s="13">
        <f t="shared" si="11"/>
        <v>44</v>
      </c>
      <c r="K113">
        <v>50.5</v>
      </c>
      <c r="N113" s="33">
        <f>Table2[[#This Row],[Home EV]]+Table2[[#This Row],[Away EV]]</f>
        <v>48.466841779326302</v>
      </c>
      <c r="O113" s="13">
        <f t="shared" si="14"/>
        <v>16</v>
      </c>
      <c r="P113">
        <v>3</v>
      </c>
      <c r="Q11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3" s="33">
        <v>2.44</v>
      </c>
      <c r="S113" s="33">
        <f t="shared" si="16"/>
        <v>3.3937500000000003</v>
      </c>
      <c r="T113" s="33"/>
      <c r="U113" s="33"/>
      <c r="V113" s="33">
        <f>-VLOOKUP(Table2[[#This Row],[Home Team]],home_lookup,3,FALSE)-VLOOKUP(B113,lookup,2,FALSE)+VLOOKUP(C113,lookup,2,FALSE)</f>
        <v>6.5886506449161102</v>
      </c>
      <c r="W113" s="1">
        <f t="shared" si="12"/>
        <v>12.606249999999999</v>
      </c>
      <c r="X113" s="1">
        <f>Table2[[#This Row],[ERR (A)]]^2</f>
        <v>158.91753906249997</v>
      </c>
      <c r="Y113" s="1">
        <f t="shared" si="15"/>
        <v>9.4113493550838889</v>
      </c>
      <c r="Z113" s="1">
        <f>Table2[[#This Row],[ERR (B)]]^2</f>
        <v>88.573496683437938</v>
      </c>
      <c r="AA113" s="18">
        <f>Table2[[#This Row],[Pace (H)]]-Table2[[#This Row],[Pace (A)]]</f>
        <v>3.3999999999999986</v>
      </c>
      <c r="AB113" s="19">
        <f>Table2[[#This Row],[Total EV]]-Table2[[#Totals],[Total EV]]</f>
        <v>-0.40486803216132472</v>
      </c>
      <c r="AC113" s="19">
        <f>Table2[[#This Row],[Total EV]]-Table2[[#This Row],[Total (V)]]</f>
        <v>-2.0331582206736982</v>
      </c>
      <c r="AD113" s="3">
        <f>Table2[[#This Row],[Margin (V)]]-Table2[[#This Row],[EV (A)]]</f>
        <v>-0.39375000000000027</v>
      </c>
      <c r="AE113" t="b">
        <f>IF(VLOOKUP(Table2[[#This Row],[Home Team]],division_lookup,2,FALSE)=VLOOKUP(Table2[[#This Row],[Away Team]],division_lookup,2,FALSE),TRUE, FALSE)</f>
        <v>0</v>
      </c>
    </row>
    <row r="114" spans="1:31" x14ac:dyDescent="0.25">
      <c r="A114">
        <v>8</v>
      </c>
      <c r="B114" t="s">
        <v>14</v>
      </c>
      <c r="C114" t="s">
        <v>8</v>
      </c>
      <c r="D114">
        <v>28</v>
      </c>
      <c r="E114">
        <v>31</v>
      </c>
      <c r="F114" s="6">
        <f>VLOOKUP(Table2[[#This Row],[Home Team]],home_lookup,3,FALSE)+VLOOKUP(Table2[[#This Row],[Home Team]],off_pts_lookup,7,FALSE)+VLOOKUP(Table2[[#This Row],[Away Team]],def_diff_lookup,14,FALSE)</f>
        <v>18.114356909282236</v>
      </c>
      <c r="G114" s="6">
        <f>VLOOKUP(Table2[[#This Row],[Away Team]],off_pts_lookup,7,FALSE)+VLOOKUP(Table2[[#This Row],[Home Team]],def_diff_lookup,14,FALSE)</f>
        <v>24.573200757575751</v>
      </c>
      <c r="H114" s="3">
        <f>VLOOKUP(Table2[[#This Row],[Home Team]],pace_lookup,5,FALSE)</f>
        <v>60.090909090909093</v>
      </c>
      <c r="I114" s="3">
        <f>VLOOKUP(Table2[[#This Row],[Away Team]],pace_lookup,5,FALSE)</f>
        <v>62.6</v>
      </c>
      <c r="J114" s="13">
        <f t="shared" si="11"/>
        <v>59</v>
      </c>
      <c r="K114">
        <v>45.5</v>
      </c>
      <c r="N114" s="33">
        <f>Table2[[#This Row],[Home EV]]+Table2[[#This Row],[Away EV]]</f>
        <v>42.687557666857984</v>
      </c>
      <c r="O114" s="13">
        <f t="shared" si="14"/>
        <v>3</v>
      </c>
      <c r="P114">
        <v>2.5</v>
      </c>
      <c r="Q11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4" s="33">
        <v>-1.25</v>
      </c>
      <c r="S114" s="33">
        <f t="shared" si="16"/>
        <v>1.6937499999999996</v>
      </c>
      <c r="T114" s="33"/>
      <c r="U114" s="33"/>
      <c r="V114" s="33">
        <f>-VLOOKUP(Table2[[#This Row],[Home Team]],home_lookup,3,FALSE)-VLOOKUP(B114,lookup,2,FALSE)+VLOOKUP(C114,lookup,2,FALSE)</f>
        <v>4.7406620301117002</v>
      </c>
      <c r="W114" s="1">
        <f t="shared" si="12"/>
        <v>1.3062500000000004</v>
      </c>
      <c r="X114" s="1">
        <f>Table2[[#This Row],[ERR (A)]]^2</f>
        <v>1.7062890625000009</v>
      </c>
      <c r="Y114" s="1">
        <f t="shared" si="15"/>
        <v>-1.7406620301117002</v>
      </c>
      <c r="Z114" s="1">
        <f>Table2[[#This Row],[ERR (B)]]^2</f>
        <v>3.0299043030725854</v>
      </c>
      <c r="AA114" s="18">
        <f>Table2[[#This Row],[Pace (H)]]-Table2[[#This Row],[Pace (A)]]</f>
        <v>-2.5090909090909079</v>
      </c>
      <c r="AB114" s="19">
        <f>Table2[[#This Row],[Total EV]]-Table2[[#Totals],[Total EV]]</f>
        <v>-6.1841521446296426</v>
      </c>
      <c r="AC114" s="19">
        <f>Table2[[#This Row],[Total EV]]-Table2[[#This Row],[Total (V)]]</f>
        <v>-2.8124423331420161</v>
      </c>
      <c r="AD114" s="3">
        <f>Table2[[#This Row],[Margin (V)]]-Table2[[#This Row],[EV (A)]]</f>
        <v>0.80625000000000036</v>
      </c>
      <c r="AE114" t="b">
        <f>IF(VLOOKUP(Table2[[#This Row],[Home Team]],division_lookup,2,FALSE)=VLOOKUP(Table2[[#This Row],[Away Team]],division_lookup,2,FALSE),TRUE, FALSE)</f>
        <v>0</v>
      </c>
    </row>
    <row r="115" spans="1:31" x14ac:dyDescent="0.25">
      <c r="A115">
        <v>8</v>
      </c>
      <c r="B115" t="s">
        <v>6</v>
      </c>
      <c r="C115" t="s">
        <v>27</v>
      </c>
      <c r="D115">
        <v>25</v>
      </c>
      <c r="E115">
        <v>41</v>
      </c>
      <c r="F115" s="6">
        <f>VLOOKUP(Table2[[#This Row],[Home Team]],home_lookup,3,FALSE)+VLOOKUP(Table2[[#This Row],[Home Team]],off_pts_lookup,7,FALSE)+VLOOKUP(Table2[[#This Row],[Away Team]],def_diff_lookup,14,FALSE)</f>
        <v>20.287084482675613</v>
      </c>
      <c r="G115" s="6">
        <f>VLOOKUP(Table2[[#This Row],[Away Team]],off_pts_lookup,7,FALSE)+VLOOKUP(Table2[[#This Row],[Home Team]],def_diff_lookup,14,FALSE)</f>
        <v>25.727746212121211</v>
      </c>
      <c r="H115" s="3">
        <f>VLOOKUP(Table2[[#This Row],[Home Team]],pace_lookup,5,FALSE)</f>
        <v>62.5</v>
      </c>
      <c r="I115" s="3">
        <f>VLOOKUP(Table2[[#This Row],[Away Team]],pace_lookup,5,FALSE)</f>
        <v>63.9</v>
      </c>
      <c r="J115" s="13">
        <f t="shared" si="11"/>
        <v>66</v>
      </c>
      <c r="K115">
        <v>48.5</v>
      </c>
      <c r="N115" s="33">
        <f>Table2[[#This Row],[Home EV]]+Table2[[#This Row],[Away EV]]</f>
        <v>46.014830694796828</v>
      </c>
      <c r="O115" s="13">
        <f t="shared" si="14"/>
        <v>16</v>
      </c>
      <c r="P115">
        <v>6.5</v>
      </c>
      <c r="Q11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5" s="33">
        <v>-1.31</v>
      </c>
      <c r="S115" s="33">
        <f t="shared" si="16"/>
        <v>1.2937500000000011</v>
      </c>
      <c r="T115" s="33"/>
      <c r="U115" s="33"/>
      <c r="V115" s="33">
        <f>-VLOOKUP(Table2[[#This Row],[Home Team]],home_lookup,3,FALSE)-VLOOKUP(B115,lookup,2,FALSE)+VLOOKUP(C115,lookup,2,FALSE)</f>
        <v>4.3406617294455998</v>
      </c>
      <c r="W115" s="1">
        <f t="shared" si="12"/>
        <v>14.706249999999999</v>
      </c>
      <c r="X115" s="1">
        <f>Table2[[#This Row],[ERR (A)]]^2</f>
        <v>216.27378906249996</v>
      </c>
      <c r="Y115" s="1">
        <f t="shared" si="15"/>
        <v>11.6593382705544</v>
      </c>
      <c r="Z115" s="1">
        <f>Table2[[#This Row],[ERR (B)]]^2</f>
        <v>135.94016890721448</v>
      </c>
      <c r="AA115" s="18">
        <f>Table2[[#This Row],[Pace (H)]]-Table2[[#This Row],[Pace (A)]]</f>
        <v>-1.3999999999999986</v>
      </c>
      <c r="AB115" s="19">
        <f>Table2[[#This Row],[Total EV]]-Table2[[#Totals],[Total EV]]</f>
        <v>-2.8568791166907985</v>
      </c>
      <c r="AC115" s="19">
        <f>Table2[[#This Row],[Total EV]]-Table2[[#This Row],[Total (V)]]</f>
        <v>-2.485169305203172</v>
      </c>
      <c r="AD115" s="3">
        <f>Table2[[#This Row],[Margin (V)]]-Table2[[#This Row],[EV (A)]]</f>
        <v>5.2062499999999989</v>
      </c>
      <c r="AE115" t="b">
        <f>IF(VLOOKUP(Table2[[#This Row],[Home Team]],division_lookup,2,FALSE)=VLOOKUP(Table2[[#This Row],[Away Team]],division_lookup,2,FALSE),TRUE, FALSE)</f>
        <v>1</v>
      </c>
    </row>
    <row r="116" spans="1:31" x14ac:dyDescent="0.25">
      <c r="A116">
        <v>8</v>
      </c>
      <c r="B116" t="s">
        <v>16</v>
      </c>
      <c r="C116" t="s">
        <v>21</v>
      </c>
      <c r="D116">
        <v>25</v>
      </c>
      <c r="E116">
        <v>20</v>
      </c>
      <c r="F116" s="6">
        <f>VLOOKUP(Table2[[#This Row],[Home Team]],home_lookup,3,FALSE)+VLOOKUP(Table2[[#This Row],[Home Team]],off_pts_lookup,7,FALSE)+VLOOKUP(Table2[[#This Row],[Away Team]],def_diff_lookup,14,FALSE)</f>
        <v>22.126063901248472</v>
      </c>
      <c r="G116" s="6">
        <f>VLOOKUP(Table2[[#This Row],[Away Team]],off_pts_lookup,7,FALSE)+VLOOKUP(Table2[[#This Row],[Home Team]],def_diff_lookup,14,FALSE)</f>
        <v>27.62774621212121</v>
      </c>
      <c r="H116" s="3">
        <f>VLOOKUP(Table2[[#This Row],[Home Team]],pace_lookup,5,FALSE)</f>
        <v>69.400000000000006</v>
      </c>
      <c r="I116" s="3">
        <f>VLOOKUP(Table2[[#This Row],[Away Team]],pace_lookup,5,FALSE)</f>
        <v>61.1</v>
      </c>
      <c r="J116" s="13">
        <f t="shared" si="11"/>
        <v>45</v>
      </c>
      <c r="K116">
        <v>50</v>
      </c>
      <c r="N116" s="33">
        <f>Table2[[#This Row],[Home EV]]+Table2[[#This Row],[Away EV]]</f>
        <v>49.753810113369681</v>
      </c>
      <c r="O116" s="13">
        <f t="shared" si="14"/>
        <v>-5</v>
      </c>
      <c r="P116">
        <v>1</v>
      </c>
      <c r="Q11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6" s="33">
        <v>2.4500000000000002</v>
      </c>
      <c r="S116" s="33">
        <f t="shared" si="16"/>
        <v>0.19374999999999964</v>
      </c>
      <c r="T116" s="33"/>
      <c r="U116" s="33"/>
      <c r="V116" s="33">
        <f>-VLOOKUP(Table2[[#This Row],[Home Team]],home_lookup,3,FALSE)-VLOOKUP(B116,lookup,2,FALSE)+VLOOKUP(C116,lookup,2,FALSE)</f>
        <v>2.4016823108727365</v>
      </c>
      <c r="W116" s="1">
        <f t="shared" si="12"/>
        <v>-5.1937499999999996</v>
      </c>
      <c r="X116" s="1">
        <f>Table2[[#This Row],[ERR (A)]]^2</f>
        <v>26.975039062499995</v>
      </c>
      <c r="Y116" s="1">
        <f t="shared" si="15"/>
        <v>-7.4016823108727365</v>
      </c>
      <c r="Z116" s="1">
        <f>Table2[[#This Row],[ERR (B)]]^2</f>
        <v>54.78490103108637</v>
      </c>
      <c r="AA116" s="18">
        <f>Table2[[#This Row],[Pace (H)]]-Table2[[#This Row],[Pace (A)]]</f>
        <v>8.3000000000000043</v>
      </c>
      <c r="AB116" s="19">
        <f>Table2[[#This Row],[Total EV]]-Table2[[#Totals],[Total EV]]</f>
        <v>0.88210030188205479</v>
      </c>
      <c r="AC116" s="19">
        <f>Table2[[#This Row],[Total EV]]-Table2[[#This Row],[Total (V)]]</f>
        <v>-0.24618988663031871</v>
      </c>
      <c r="AD116" s="3">
        <f>Table2[[#This Row],[Margin (V)]]-Table2[[#This Row],[EV (A)]]</f>
        <v>0.80625000000000036</v>
      </c>
      <c r="AE116" t="b">
        <f>IF(VLOOKUP(Table2[[#This Row],[Home Team]],division_lookup,2,FALSE)=VLOOKUP(Table2[[#This Row],[Away Team]],division_lookup,2,FALSE),TRUE, FALSE)</f>
        <v>0</v>
      </c>
    </row>
    <row r="117" spans="1:31" x14ac:dyDescent="0.25">
      <c r="A117">
        <v>8</v>
      </c>
      <c r="B117" t="s">
        <v>9</v>
      </c>
      <c r="C117" t="s">
        <v>23</v>
      </c>
      <c r="D117">
        <v>20</v>
      </c>
      <c r="E117">
        <v>13</v>
      </c>
      <c r="F117" s="6">
        <f>VLOOKUP(Table2[[#This Row],[Home Team]],home_lookup,3,FALSE)+VLOOKUP(Table2[[#This Row],[Home Team]],off_pts_lookup,7,FALSE)+VLOOKUP(Table2[[#This Row],[Away Team]],def_diff_lookup,14,FALSE)</f>
        <v>25.620294441319128</v>
      </c>
      <c r="G117" s="6">
        <f>VLOOKUP(Table2[[#This Row],[Away Team]],off_pts_lookup,7,FALSE)+VLOOKUP(Table2[[#This Row],[Home Team]],def_diff_lookup,14,FALSE)</f>
        <v>21.116635101010097</v>
      </c>
      <c r="H117" s="3">
        <f>VLOOKUP(Table2[[#This Row],[Home Team]],pace_lookup,5,FALSE)</f>
        <v>65.777777777777771</v>
      </c>
      <c r="I117" s="3">
        <f>VLOOKUP(Table2[[#This Row],[Away Team]],pace_lookup,5,FALSE)</f>
        <v>59.4</v>
      </c>
      <c r="J117" s="13">
        <f t="shared" si="11"/>
        <v>33</v>
      </c>
      <c r="K117">
        <v>46.5</v>
      </c>
      <c r="N117" s="33">
        <f>Table2[[#This Row],[Home EV]]+Table2[[#This Row],[Away EV]]</f>
        <v>46.736929542329221</v>
      </c>
      <c r="O117" s="13">
        <f t="shared" si="14"/>
        <v>-7</v>
      </c>
      <c r="P117">
        <v>-1</v>
      </c>
      <c r="Q11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7" s="33">
        <v>-0.4</v>
      </c>
      <c r="S117" s="33">
        <f t="shared" si="16"/>
        <v>-0.40624999999999978</v>
      </c>
      <c r="T117" s="33"/>
      <c r="U117" s="33"/>
      <c r="V117" s="33">
        <f>-VLOOKUP(Table2[[#This Row],[Home Team]],home_lookup,3,FALSE)-VLOOKUP(B117,lookup,2,FALSE)+VLOOKUP(C117,lookup,2,FALSE)</f>
        <v>-5.6036593403090293</v>
      </c>
      <c r="W117" s="1">
        <f t="shared" si="12"/>
        <v>-6.59375</v>
      </c>
      <c r="X117" s="1">
        <f>Table2[[#This Row],[ERR (A)]]^2</f>
        <v>43.4775390625</v>
      </c>
      <c r="Y117" s="1">
        <f t="shared" si="15"/>
        <v>-1.3963406596909707</v>
      </c>
      <c r="Z117" s="1">
        <f>Table2[[#This Row],[ERR (B)]]^2</f>
        <v>1.9497672379062152</v>
      </c>
      <c r="AA117" s="18">
        <f>Table2[[#This Row],[Pace (H)]]-Table2[[#This Row],[Pace (A)]]</f>
        <v>6.3777777777777729</v>
      </c>
      <c r="AB117" s="19">
        <f>Table2[[#This Row],[Total EV]]-Table2[[#Totals],[Total EV]]</f>
        <v>-2.134780269158405</v>
      </c>
      <c r="AC117" s="19">
        <f>Table2[[#This Row],[Total EV]]-Table2[[#This Row],[Total (V)]]</f>
        <v>0.23692954232922148</v>
      </c>
      <c r="AD117" s="3">
        <f>Table2[[#This Row],[Margin (V)]]-Table2[[#This Row],[EV (A)]]</f>
        <v>-0.59375000000000022</v>
      </c>
      <c r="AE117" t="b">
        <f>IF(VLOOKUP(Table2[[#This Row],[Home Team]],division_lookup,2,FALSE)=VLOOKUP(Table2[[#This Row],[Away Team]],division_lookup,2,FALSE),TRUE, FALSE)</f>
        <v>0</v>
      </c>
    </row>
    <row r="118" spans="1:31" x14ac:dyDescent="0.25">
      <c r="A118">
        <v>8</v>
      </c>
      <c r="B118" t="s">
        <v>1</v>
      </c>
      <c r="C118" t="s">
        <v>18</v>
      </c>
      <c r="D118">
        <v>27</v>
      </c>
      <c r="E118">
        <v>19</v>
      </c>
      <c r="F118" s="6">
        <f>VLOOKUP(Table2[[#This Row],[Home Team]],home_lookup,3,FALSE)+VLOOKUP(Table2[[#This Row],[Home Team]],off_pts_lookup,7,FALSE)+VLOOKUP(Table2[[#This Row],[Away Team]],def_diff_lookup,14,FALSE)</f>
        <v>30.487786374219418</v>
      </c>
      <c r="G118" s="6">
        <f>VLOOKUP(Table2[[#This Row],[Away Team]],off_pts_lookup,7,FALSE)+VLOOKUP(Table2[[#This Row],[Home Team]],def_diff_lookup,14,FALSE)</f>
        <v>25.227746212121207</v>
      </c>
      <c r="H118" s="3">
        <f>VLOOKUP(Table2[[#This Row],[Home Team]],pace_lookup,5,FALSE)</f>
        <v>64</v>
      </c>
      <c r="I118" s="3">
        <f>VLOOKUP(Table2[[#This Row],[Away Team]],pace_lookup,5,FALSE)</f>
        <v>66.400000000000006</v>
      </c>
      <c r="J118" s="13">
        <f t="shared" si="11"/>
        <v>46</v>
      </c>
      <c r="K118">
        <v>43.5</v>
      </c>
      <c r="N118" s="33">
        <f>Table2[[#This Row],[Home EV]]+Table2[[#This Row],[Away EV]]</f>
        <v>55.715532586340629</v>
      </c>
      <c r="O118" s="13">
        <f t="shared" si="14"/>
        <v>-8</v>
      </c>
      <c r="P118">
        <v>-3.5</v>
      </c>
      <c r="Q11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18" s="33">
        <v>-6.16</v>
      </c>
      <c r="S118" s="33">
        <f t="shared" si="16"/>
        <v>-5.8062500000000004</v>
      </c>
      <c r="T118" s="33"/>
      <c r="U118" s="33"/>
      <c r="V118" s="33">
        <f>-VLOOKUP(Table2[[#This Row],[Home Team]],home_lookup,3,FALSE)-VLOOKUP(B118,lookup,2,FALSE)+VLOOKUP(C118,lookup,2,FALSE)</f>
        <v>-4.5600401620982112</v>
      </c>
      <c r="W118" s="1">
        <f t="shared" si="12"/>
        <v>-2.1937499999999996</v>
      </c>
      <c r="X118" s="1">
        <f>Table2[[#This Row],[ERR (A)]]^2</f>
        <v>4.8125390624999982</v>
      </c>
      <c r="Y118" s="1">
        <f t="shared" si="15"/>
        <v>-3.4399598379017888</v>
      </c>
      <c r="Z118" s="1">
        <f>Table2[[#This Row],[ERR (B)]]^2</f>
        <v>11.833323686377302</v>
      </c>
      <c r="AA118" s="18">
        <f>Table2[[#This Row],[Pace (H)]]-Table2[[#This Row],[Pace (A)]]</f>
        <v>-2.4000000000000057</v>
      </c>
      <c r="AB118" s="19">
        <f>Table2[[#This Row],[Total EV]]-Table2[[#Totals],[Total EV]]</f>
        <v>6.8438227748530025</v>
      </c>
      <c r="AC118" s="19">
        <f>Table2[[#This Row],[Total EV]]-Table2[[#This Row],[Total (V)]]</f>
        <v>12.215532586340629</v>
      </c>
      <c r="AD118" s="3">
        <f>Table2[[#This Row],[Margin (V)]]-Table2[[#This Row],[EV (A)]]</f>
        <v>2.3062500000000004</v>
      </c>
      <c r="AE118" t="b">
        <f>IF(VLOOKUP(Table2[[#This Row],[Home Team]],division_lookup,2,FALSE)=VLOOKUP(Table2[[#This Row],[Away Team]],division_lookup,2,FALSE),TRUE, FALSE)</f>
        <v>1</v>
      </c>
    </row>
    <row r="119" spans="1:31" ht="12.75" customHeight="1" x14ac:dyDescent="0.25">
      <c r="A119">
        <v>8</v>
      </c>
      <c r="B119" t="s">
        <v>20</v>
      </c>
      <c r="C119" t="s">
        <v>3</v>
      </c>
      <c r="D119">
        <v>33</v>
      </c>
      <c r="E119">
        <v>32</v>
      </c>
      <c r="F119" s="6">
        <f>VLOOKUP(Table2[[#This Row],[Home Team]],home_lookup,3,FALSE)+VLOOKUP(Table2[[#This Row],[Home Team]],off_pts_lookup,7,FALSE)+VLOOKUP(Table2[[#This Row],[Away Team]],def_diff_lookup,14,FALSE)</f>
        <v>31.706265846188991</v>
      </c>
      <c r="G119" s="6">
        <f>VLOOKUP(Table2[[#This Row],[Away Team]],off_pts_lookup,7,FALSE)+VLOOKUP(Table2[[#This Row],[Home Team]],def_diff_lookup,14,FALSE)</f>
        <v>30.127746212121213</v>
      </c>
      <c r="H119" s="3">
        <f>VLOOKUP(Table2[[#This Row],[Home Team]],pace_lookup,5,FALSE)</f>
        <v>61.9</v>
      </c>
      <c r="I119" s="3">
        <f>VLOOKUP(Table2[[#This Row],[Away Team]],pace_lookup,5,FALSE)</f>
        <v>66.2</v>
      </c>
      <c r="J119" s="13">
        <f t="shared" si="11"/>
        <v>65</v>
      </c>
      <c r="K119">
        <v>51</v>
      </c>
      <c r="N119" s="33">
        <f>Table2[[#This Row],[Home EV]]+Table2[[#This Row],[Away EV]]</f>
        <v>61.834012058310208</v>
      </c>
      <c r="O119" s="13">
        <f t="shared" si="14"/>
        <v>-1</v>
      </c>
      <c r="P119">
        <v>-3</v>
      </c>
      <c r="Q11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19" s="33">
        <v>-8.4</v>
      </c>
      <c r="S119" s="33">
        <f t="shared" si="16"/>
        <v>-10.90625</v>
      </c>
      <c r="T119" s="33"/>
      <c r="U119" s="33"/>
      <c r="V119" s="33">
        <f>-VLOOKUP(Table2[[#This Row],[Home Team]],home_lookup,3,FALSE)-VLOOKUP(B119,lookup,2,FALSE)+VLOOKUP(C119,lookup,2,FALSE)</f>
        <v>-2.9785196340677818</v>
      </c>
      <c r="W119" s="1">
        <f t="shared" si="12"/>
        <v>9.90625</v>
      </c>
      <c r="X119" s="1">
        <f>Table2[[#This Row],[ERR (A)]]^2</f>
        <v>98.1337890625</v>
      </c>
      <c r="Y119" s="1">
        <f t="shared" si="15"/>
        <v>1.9785196340677818</v>
      </c>
      <c r="Z119" s="1">
        <f>Table2[[#This Row],[ERR (B)]]^2</f>
        <v>3.9145399423917091</v>
      </c>
      <c r="AA119" s="18">
        <f>Table2[[#This Row],[Pace (H)]]-Table2[[#This Row],[Pace (A)]]</f>
        <v>-4.3000000000000043</v>
      </c>
      <c r="AB119" s="19">
        <f>Table2[[#This Row],[Total EV]]-Table2[[#Totals],[Total EV]]</f>
        <v>12.962302246822581</v>
      </c>
      <c r="AC119" s="19">
        <f>Table2[[#This Row],[Total EV]]-Table2[[#This Row],[Total (V)]]</f>
        <v>10.834012058310208</v>
      </c>
      <c r="AD119" s="3">
        <f>Table2[[#This Row],[Margin (V)]]-Table2[[#This Row],[EV (A)]]</f>
        <v>7.90625</v>
      </c>
      <c r="AE119" t="b">
        <f>IF(VLOOKUP(Table2[[#This Row],[Home Team]],division_lookup,2,FALSE)=VLOOKUP(Table2[[#This Row],[Away Team]],division_lookup,2,FALSE),TRUE, FALSE)</f>
        <v>0</v>
      </c>
    </row>
    <row r="120" spans="1:31" x14ac:dyDescent="0.25">
      <c r="A120">
        <v>8</v>
      </c>
      <c r="B120" t="s">
        <v>26</v>
      </c>
      <c r="C120" t="s">
        <v>13</v>
      </c>
      <c r="D120">
        <v>29</v>
      </c>
      <c r="E120">
        <v>23</v>
      </c>
      <c r="F120" s="6">
        <f>VLOOKUP(Table2[[#This Row],[Home Team]],home_lookup,3,FALSE)+VLOOKUP(Table2[[#This Row],[Home Team]],off_pts_lookup,7,FALSE)+VLOOKUP(Table2[[#This Row],[Away Team]],def_diff_lookup,14,FALSE)</f>
        <v>24.336507972904354</v>
      </c>
      <c r="G120" s="6">
        <f>VLOOKUP(Table2[[#This Row],[Away Team]],off_pts_lookup,7,FALSE)+VLOOKUP(Table2[[#This Row],[Home Team]],def_diff_lookup,14,FALSE)</f>
        <v>19.92774621212121</v>
      </c>
      <c r="H120" s="3">
        <f>VLOOKUP(Table2[[#This Row],[Home Team]],pace_lookup,5,FALSE)</f>
        <v>66.5</v>
      </c>
      <c r="I120" s="3">
        <f>VLOOKUP(Table2[[#This Row],[Away Team]],pace_lookup,5,FALSE)</f>
        <v>65.5</v>
      </c>
      <c r="J120" s="13">
        <f t="shared" si="11"/>
        <v>52</v>
      </c>
      <c r="K120">
        <v>44</v>
      </c>
      <c r="N120" s="33">
        <f>Table2[[#This Row],[Home EV]]+Table2[[#This Row],[Away EV]]</f>
        <v>44.264254185025564</v>
      </c>
      <c r="O120" s="13">
        <f t="shared" si="14"/>
        <v>-6</v>
      </c>
      <c r="P120">
        <v>-5</v>
      </c>
      <c r="Q1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0" s="33">
        <v>0.69</v>
      </c>
      <c r="S120" s="33">
        <f t="shared" si="16"/>
        <v>-3.1062500000000002</v>
      </c>
      <c r="T120" s="33"/>
      <c r="U120" s="33"/>
      <c r="V120" s="33">
        <f>-VLOOKUP(Table2[[#This Row],[Home Team]],home_lookup,3,FALSE)-VLOOKUP(B120,lookup,2,FALSE)+VLOOKUP(C120,lookup,2,FALSE)</f>
        <v>-0.30876176078314455</v>
      </c>
      <c r="W120" s="1">
        <f t="shared" si="12"/>
        <v>-2.8937499999999998</v>
      </c>
      <c r="X120" s="1">
        <f>Table2[[#This Row],[ERR (A)]]^2</f>
        <v>8.3737890624999984</v>
      </c>
      <c r="Y120" s="1">
        <f t="shared" si="15"/>
        <v>-5.6912382392168555</v>
      </c>
      <c r="Z120" s="1">
        <f>Table2[[#This Row],[ERR (B)]]^2</f>
        <v>32.390192695524171</v>
      </c>
      <c r="AA120" s="18">
        <f>Table2[[#This Row],[Pace (H)]]-Table2[[#This Row],[Pace (A)]]</f>
        <v>1</v>
      </c>
      <c r="AB120" s="19">
        <f>Table2[[#This Row],[Total EV]]-Table2[[#Totals],[Total EV]]</f>
        <v>-4.6074556264620625</v>
      </c>
      <c r="AC120" s="19">
        <f>Table2[[#This Row],[Total EV]]-Table2[[#This Row],[Total (V)]]</f>
        <v>0.26425418502556397</v>
      </c>
      <c r="AD120" s="3">
        <f>Table2[[#This Row],[Margin (V)]]-Table2[[#This Row],[EV (A)]]</f>
        <v>-1.8937499999999998</v>
      </c>
      <c r="AE120" t="b">
        <f>IF(VLOOKUP(Table2[[#This Row],[Home Team]],division_lookup,2,FALSE)=VLOOKUP(Table2[[#This Row],[Away Team]],division_lookup,2,FALSE),TRUE, FALSE)</f>
        <v>1</v>
      </c>
    </row>
    <row r="121" spans="1:31" ht="15.75" thickBot="1" x14ac:dyDescent="0.3">
      <c r="A121" s="9">
        <v>8</v>
      </c>
      <c r="B121" s="9" t="s">
        <v>10</v>
      </c>
      <c r="C121" s="9" t="s">
        <v>11</v>
      </c>
      <c r="D121" s="9">
        <v>20</v>
      </c>
      <c r="E121" s="9">
        <v>10</v>
      </c>
      <c r="F121" s="30">
        <f>VLOOKUP(Table2[[#This Row],[Home Team]],home_lookup,3,FALSE)+VLOOKUP(Table2[[#This Row],[Home Team]],off_pts_lookup,7,FALSE)+VLOOKUP(Table2[[#This Row],[Away Team]],def_diff_lookup,14,FALSE)</f>
        <v>18.056745113923146</v>
      </c>
      <c r="G121" s="30">
        <f>VLOOKUP(Table2[[#This Row],[Away Team]],off_pts_lookup,7,FALSE)+VLOOKUP(Table2[[#This Row],[Home Team]],def_diff_lookup,14,FALSE)</f>
        <v>21.327746212121209</v>
      </c>
      <c r="H121" s="15">
        <f>VLOOKUP(Table2[[#This Row],[Home Team]],pace_lookup,5,FALSE)</f>
        <v>59.3</v>
      </c>
      <c r="I121" s="15">
        <f>VLOOKUP(Table2[[#This Row],[Away Team]],pace_lookup,5,FALSE)</f>
        <v>62.9</v>
      </c>
      <c r="J121" s="14">
        <f t="shared" si="11"/>
        <v>30</v>
      </c>
      <c r="K121" s="9">
        <v>39.5</v>
      </c>
      <c r="L121" s="39"/>
      <c r="M121" s="9"/>
      <c r="N121" s="34">
        <f>Table2[[#This Row],[Home EV]]+Table2[[#This Row],[Away EV]]</f>
        <v>39.384491326044355</v>
      </c>
      <c r="O121" s="14">
        <f t="shared" si="14"/>
        <v>-10</v>
      </c>
      <c r="P121" s="9">
        <v>5.5</v>
      </c>
      <c r="Q121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1" s="34">
        <v>12.02</v>
      </c>
      <c r="S121" s="34">
        <f t="shared" si="16"/>
        <v>7.4937500000000004</v>
      </c>
      <c r="T121" s="34"/>
      <c r="U121" s="34"/>
      <c r="V121" s="34">
        <f>-VLOOKUP(Table2[[#This Row],[Home Team]],home_lookup,3,FALSE)-VLOOKUP(B121,lookup,2,FALSE)+VLOOKUP(C121,lookup,2,FALSE)</f>
        <v>2.7710010981980648</v>
      </c>
      <c r="W121" s="16">
        <f t="shared" si="12"/>
        <v>-17.493749999999999</v>
      </c>
      <c r="X121" s="16">
        <f>Table2[[#This Row],[ERR (A)]]^2</f>
        <v>306.03128906249992</v>
      </c>
      <c r="Y121" s="16">
        <f t="shared" si="15"/>
        <v>-12.771001098198065</v>
      </c>
      <c r="Z121" s="16">
        <f>Table2[[#This Row],[ERR (B)]]^2</f>
        <v>163.09846905017619</v>
      </c>
      <c r="AA121" s="24">
        <f>Table2[[#This Row],[Pace (H)]]-Table2[[#This Row],[Pace (A)]]</f>
        <v>-3.6000000000000014</v>
      </c>
      <c r="AB121" s="15">
        <f>Table2[[#This Row],[Total EV]]-Table2[[#Totals],[Total EV]]</f>
        <v>-9.4872184854432717</v>
      </c>
      <c r="AC121" s="15">
        <f>Table2[[#This Row],[Total EV]]-Table2[[#This Row],[Total (V)]]</f>
        <v>-0.11550867395564524</v>
      </c>
      <c r="AD121" s="15">
        <f>Table2[[#This Row],[Margin (V)]]-Table2[[#This Row],[EV (A)]]</f>
        <v>-1.9937500000000004</v>
      </c>
      <c r="AE121" s="9" t="b">
        <f>IF(VLOOKUP(Table2[[#This Row],[Home Team]],division_lookup,2,FALSE)=VLOOKUP(Table2[[#This Row],[Away Team]],division_lookup,2,FALSE),TRUE, FALSE)</f>
        <v>1</v>
      </c>
    </row>
    <row r="122" spans="1:31" x14ac:dyDescent="0.25">
      <c r="A122">
        <v>9</v>
      </c>
      <c r="B122" t="s">
        <v>19</v>
      </c>
      <c r="C122" t="s">
        <v>20</v>
      </c>
      <c r="D122">
        <v>28</v>
      </c>
      <c r="E122">
        <v>43</v>
      </c>
      <c r="F122" s="6">
        <f>VLOOKUP(Table2[[#This Row],[Home Team]],home_lookup,3,FALSE)+VLOOKUP(Table2[[#This Row],[Home Team]],off_pts_lookup,7,FALSE)+VLOOKUP(Table2[[#This Row],[Away Team]],def_diff_lookup,14,FALSE)</f>
        <v>28.402624307599957</v>
      </c>
      <c r="G122" s="6">
        <f>VLOOKUP(Table2[[#This Row],[Away Team]],off_pts_lookup,7,FALSE)+VLOOKUP(Table2[[#This Row],[Home Team]],def_diff_lookup,14,FALSE)</f>
        <v>35.027746212121215</v>
      </c>
      <c r="H122" s="3">
        <f>VLOOKUP(Table2[[#This Row],[Home Team]],pace_lookup,5,FALSE)</f>
        <v>69.900000000000006</v>
      </c>
      <c r="I122" s="3">
        <f>VLOOKUP(Table2[[#This Row],[Away Team]],pace_lookup,5,FALSE)</f>
        <v>61.9</v>
      </c>
      <c r="J122" s="13">
        <f t="shared" si="11"/>
        <v>71</v>
      </c>
      <c r="K122">
        <v>49.5</v>
      </c>
      <c r="N122" s="33">
        <f>Table2[[#This Row],[Home EV]]+Table2[[#This Row],[Away EV]]</f>
        <v>63.430370519721173</v>
      </c>
      <c r="O122" s="13">
        <f t="shared" si="14"/>
        <v>15</v>
      </c>
      <c r="P122">
        <v>4.5</v>
      </c>
      <c r="Q12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22" s="33">
        <v>6.23</v>
      </c>
      <c r="S122" s="33">
        <f t="shared" si="16"/>
        <v>5.9937500000000004</v>
      </c>
      <c r="T122" s="33"/>
      <c r="U122" s="33"/>
      <c r="V122" s="33">
        <f>-VLOOKUP(Table2[[#This Row],[Home Team]],home_lookup,3,FALSE)-VLOOKUP(B122,lookup,2,FALSE)+VLOOKUP(C122,lookup,2,FALSE)</f>
        <v>9.4251219045212551</v>
      </c>
      <c r="W122" s="1">
        <f t="shared" si="12"/>
        <v>9.0062499999999996</v>
      </c>
      <c r="X122" s="1">
        <f>Table2[[#This Row],[ERR (A)]]^2</f>
        <v>81.112539062499991</v>
      </c>
      <c r="Y122" s="1">
        <f t="shared" si="15"/>
        <v>5.5748780954787449</v>
      </c>
      <c r="Z122" s="1">
        <f>Table2[[#This Row],[ERR (B)]]^2</f>
        <v>31.079265779448718</v>
      </c>
      <c r="AA122" s="18">
        <f>Table2[[#This Row],[Pace (H)]]-Table2[[#This Row],[Pace (A)]]</f>
        <v>8.0000000000000071</v>
      </c>
      <c r="AB122" s="19">
        <f>Table2[[#This Row],[Total EV]]-Table2[[#Totals],[Total EV]]</f>
        <v>14.558660708233546</v>
      </c>
      <c r="AC122" s="19">
        <f>Table2[[#This Row],[Total EV]]-Table2[[#This Row],[Total (V)]]</f>
        <v>13.930370519721173</v>
      </c>
      <c r="AD122" s="3">
        <f>Table2[[#This Row],[Margin (V)]]-Table2[[#This Row],[EV (A)]]</f>
        <v>-1.4937500000000004</v>
      </c>
      <c r="AE122" t="b">
        <f>IF(VLOOKUP(Table2[[#This Row],[Home Team]],division_lookup,2,FALSE)=VLOOKUP(Table2[[#This Row],[Away Team]],division_lookup,2,FALSE),TRUE, FALSE)</f>
        <v>1</v>
      </c>
    </row>
    <row r="123" spans="1:31" x14ac:dyDescent="0.25">
      <c r="A123">
        <v>9</v>
      </c>
      <c r="B123" t="s">
        <v>5</v>
      </c>
      <c r="C123" t="s">
        <v>29</v>
      </c>
      <c r="D123">
        <v>21</v>
      </c>
      <c r="E123">
        <v>14</v>
      </c>
      <c r="F123" s="6">
        <f>VLOOKUP(Table2[[#This Row],[Home Team]],home_lookup,3,FALSE)+VLOOKUP(Table2[[#This Row],[Home Team]],off_pts_lookup,7,FALSE)+VLOOKUP(Table2[[#This Row],[Away Team]],def_diff_lookup,14,FALSE)</f>
        <v>24.588549982716028</v>
      </c>
      <c r="G123" s="6">
        <f>VLOOKUP(Table2[[#This Row],[Away Team]],off_pts_lookup,7,FALSE)+VLOOKUP(Table2[[#This Row],[Home Team]],def_diff_lookup,14,FALSE)</f>
        <v>19.627746212121213</v>
      </c>
      <c r="H123" s="3">
        <f>VLOOKUP(Table2[[#This Row],[Home Team]],pace_lookup,5,FALSE)</f>
        <v>67.400000000000006</v>
      </c>
      <c r="I123" s="3">
        <f>VLOOKUP(Table2[[#This Row],[Away Team]],pace_lookup,5,FALSE)</f>
        <v>64.400000000000006</v>
      </c>
      <c r="J123" s="13">
        <f t="shared" si="11"/>
        <v>35</v>
      </c>
      <c r="K123">
        <v>46.5</v>
      </c>
      <c r="N123" s="33">
        <f>Table2[[#This Row],[Home EV]]+Table2[[#This Row],[Away EV]]</f>
        <v>44.216296194837241</v>
      </c>
      <c r="O123" s="13">
        <f t="shared" si="14"/>
        <v>-7</v>
      </c>
      <c r="P123">
        <v>3</v>
      </c>
      <c r="Q12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3" s="33">
        <v>5.16</v>
      </c>
      <c r="S123" s="33">
        <f t="shared" si="16"/>
        <v>0.39374999999999982</v>
      </c>
      <c r="T123" s="33"/>
      <c r="U123" s="33"/>
      <c r="V123" s="33">
        <f>-VLOOKUP(Table2[[#This Row],[Home Team]],home_lookup,3,FALSE)-VLOOKUP(B123,lookup,2,FALSE)+VLOOKUP(C123,lookup,2,FALSE)</f>
        <v>-2.7608037705948152</v>
      </c>
      <c r="W123" s="1">
        <f t="shared" si="12"/>
        <v>-7.3937499999999998</v>
      </c>
      <c r="X123" s="1">
        <f>Table2[[#This Row],[ERR (A)]]^2</f>
        <v>54.667539062499998</v>
      </c>
      <c r="Y123" s="1">
        <f t="shared" si="15"/>
        <v>-4.2391962294051844</v>
      </c>
      <c r="Z123" s="1">
        <f>Table2[[#This Row],[ERR (B)]]^2</f>
        <v>17.970784671403134</v>
      </c>
      <c r="AA123" s="18">
        <f>Table2[[#This Row],[Pace (H)]]-Table2[[#This Row],[Pace (A)]]</f>
        <v>3</v>
      </c>
      <c r="AB123" s="19">
        <f>Table2[[#This Row],[Total EV]]-Table2[[#Totals],[Total EV]]</f>
        <v>-4.6554136166503852</v>
      </c>
      <c r="AC123" s="19">
        <f>Table2[[#This Row],[Total EV]]-Table2[[#This Row],[Total (V)]]</f>
        <v>-2.2837038051627587</v>
      </c>
      <c r="AD123" s="3">
        <f>Table2[[#This Row],[Margin (V)]]-Table2[[#This Row],[EV (A)]]</f>
        <v>2.6062500000000002</v>
      </c>
      <c r="AE123" t="b">
        <f>IF(VLOOKUP(Table2[[#This Row],[Home Team]],division_lookup,2,FALSE)=VLOOKUP(Table2[[#This Row],[Away Team]],division_lookup,2,FALSE),TRUE, FALSE)</f>
        <v>1</v>
      </c>
    </row>
    <row r="124" spans="1:31" x14ac:dyDescent="0.25">
      <c r="A124">
        <v>9</v>
      </c>
      <c r="B124" t="s">
        <v>11</v>
      </c>
      <c r="C124" t="s">
        <v>23</v>
      </c>
      <c r="D124">
        <v>16</v>
      </c>
      <c r="E124">
        <v>22</v>
      </c>
      <c r="F124" s="6">
        <f>VLOOKUP(Table2[[#This Row],[Home Team]],home_lookup,3,FALSE)+VLOOKUP(Table2[[#This Row],[Home Team]],off_pts_lookup,7,FALSE)+VLOOKUP(Table2[[#This Row],[Away Team]],def_diff_lookup,14,FALSE)</f>
        <v>23.830106107800695</v>
      </c>
      <c r="G124" s="6">
        <f>VLOOKUP(Table2[[#This Row],[Away Team]],off_pts_lookup,7,FALSE)+VLOOKUP(Table2[[#This Row],[Home Team]],def_diff_lookup,14,FALSE)</f>
        <v>17.827746212121209</v>
      </c>
      <c r="H124" s="3">
        <f>VLOOKUP(Table2[[#This Row],[Home Team]],pace_lookup,5,FALSE)</f>
        <v>62.9</v>
      </c>
      <c r="I124" s="3">
        <f>VLOOKUP(Table2[[#This Row],[Away Team]],pace_lookup,5,FALSE)</f>
        <v>59.4</v>
      </c>
      <c r="J124" s="13">
        <f t="shared" si="11"/>
        <v>38</v>
      </c>
      <c r="K124">
        <v>42.5</v>
      </c>
      <c r="N124" s="33">
        <f>Table2[[#This Row],[Home EV]]+Table2[[#This Row],[Away EV]]</f>
        <v>41.657852319921901</v>
      </c>
      <c r="O124" s="13">
        <f t="shared" si="14"/>
        <v>6</v>
      </c>
      <c r="P124">
        <v>-6</v>
      </c>
      <c r="Q12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4" s="33">
        <v>-10.71</v>
      </c>
      <c r="S124" s="33">
        <f t="shared" si="16"/>
        <v>-6.1062500000000002</v>
      </c>
      <c r="T124" s="33"/>
      <c r="U124" s="33"/>
      <c r="V124" s="33">
        <f>-VLOOKUP(Table2[[#This Row],[Home Team]],home_lookup,3,FALSE)-VLOOKUP(B124,lookup,2,FALSE)+VLOOKUP(C124,lookup,2,FALSE)</f>
        <v>-6.9023598956794858</v>
      </c>
      <c r="W124" s="1">
        <f t="shared" si="12"/>
        <v>12.106249999999999</v>
      </c>
      <c r="X124" s="1">
        <f>Table2[[#This Row],[ERR (A)]]^2</f>
        <v>146.56128906249998</v>
      </c>
      <c r="Y124" s="1">
        <f t="shared" si="15"/>
        <v>12.902359895679485</v>
      </c>
      <c r="Z124" s="1">
        <f>Table2[[#This Row],[ERR (B)]]^2</f>
        <v>166.47089087763834</v>
      </c>
      <c r="AA124" s="18">
        <f>Table2[[#This Row],[Pace (H)]]-Table2[[#This Row],[Pace (A)]]</f>
        <v>3.5</v>
      </c>
      <c r="AB124" s="19">
        <f>Table2[[#This Row],[Total EV]]-Table2[[#Totals],[Total EV]]</f>
        <v>-7.2138574915657259</v>
      </c>
      <c r="AC124" s="19">
        <f>Table2[[#This Row],[Total EV]]-Table2[[#This Row],[Total (V)]]</f>
        <v>-0.84214768007809937</v>
      </c>
      <c r="AD124" s="3">
        <f>Table2[[#This Row],[Margin (V)]]-Table2[[#This Row],[EV (A)]]</f>
        <v>0.10625000000000018</v>
      </c>
      <c r="AE124" t="b">
        <f>IF(VLOOKUP(Table2[[#This Row],[Home Team]],division_lookup,2,FALSE)=VLOOKUP(Table2[[#This Row],[Away Team]],division_lookup,2,FALSE),TRUE, FALSE)</f>
        <v>1</v>
      </c>
    </row>
    <row r="125" spans="1:31" x14ac:dyDescent="0.25">
      <c r="A125">
        <v>9</v>
      </c>
      <c r="B125" t="s">
        <v>17</v>
      </c>
      <c r="C125" t="s">
        <v>4</v>
      </c>
      <c r="D125">
        <v>19</v>
      </c>
      <c r="E125">
        <v>14</v>
      </c>
      <c r="F125" s="6">
        <f>VLOOKUP(Table2[[#This Row],[Home Team]],home_lookup,3,FALSE)+VLOOKUP(Table2[[#This Row],[Home Team]],off_pts_lookup,7,FALSE)+VLOOKUP(Table2[[#This Row],[Away Team]],def_diff_lookup,14,FALSE)</f>
        <v>29.605172522175639</v>
      </c>
      <c r="G125" s="6">
        <f>VLOOKUP(Table2[[#This Row],[Away Team]],off_pts_lookup,7,FALSE)+VLOOKUP(Table2[[#This Row],[Home Team]],def_diff_lookup,14,FALSE)</f>
        <v>15.127746212121206</v>
      </c>
      <c r="H125" s="3">
        <f>VLOOKUP(Table2[[#This Row],[Home Team]],pace_lookup,5,FALSE)</f>
        <v>62.1</v>
      </c>
      <c r="I125" s="3">
        <f>VLOOKUP(Table2[[#This Row],[Away Team]],pace_lookup,5,FALSE)</f>
        <v>65.099999999999994</v>
      </c>
      <c r="J125" s="13">
        <f t="shared" si="11"/>
        <v>33</v>
      </c>
      <c r="K125">
        <v>43</v>
      </c>
      <c r="N125" s="33">
        <f>Table2[[#This Row],[Home EV]]+Table2[[#This Row],[Away EV]]</f>
        <v>44.732918734296845</v>
      </c>
      <c r="O125" s="13">
        <f t="shared" si="14"/>
        <v>-5</v>
      </c>
      <c r="P125">
        <v>-7</v>
      </c>
      <c r="Q1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5" s="33">
        <v>-17.61</v>
      </c>
      <c r="S125" s="33">
        <f t="shared" si="16"/>
        <v>-14.706249999999999</v>
      </c>
      <c r="T125" s="33"/>
      <c r="U125" s="33"/>
      <c r="V125" s="33">
        <f>-VLOOKUP(Table2[[#This Row],[Home Team]],home_lookup,3,FALSE)-VLOOKUP(B125,lookup,2,FALSE)+VLOOKUP(C125,lookup,2,FALSE)</f>
        <v>-15.577426310054427</v>
      </c>
      <c r="W125" s="1">
        <f t="shared" si="12"/>
        <v>9.7062499999999989</v>
      </c>
      <c r="X125" s="1">
        <f>Table2[[#This Row],[ERR (A)]]^2</f>
        <v>94.211289062499986</v>
      </c>
      <c r="Y125" s="1">
        <f t="shared" si="15"/>
        <v>10.577426310054427</v>
      </c>
      <c r="Z125" s="1">
        <f>Table2[[#This Row],[ERR (B)]]^2</f>
        <v>111.88194734463163</v>
      </c>
      <c r="AA125" s="18">
        <f>Table2[[#This Row],[Pace (H)]]-Table2[[#This Row],[Pace (A)]]</f>
        <v>-2.9999999999999929</v>
      </c>
      <c r="AB125" s="19">
        <f>Table2[[#This Row],[Total EV]]-Table2[[#Totals],[Total EV]]</f>
        <v>-4.1387910771907812</v>
      </c>
      <c r="AC125" s="19">
        <f>Table2[[#This Row],[Total EV]]-Table2[[#This Row],[Total (V)]]</f>
        <v>1.7329187342968453</v>
      </c>
      <c r="AD125" s="3">
        <f>Table2[[#This Row],[Margin (V)]]-Table2[[#This Row],[EV (A)]]</f>
        <v>7.7062499999999989</v>
      </c>
      <c r="AE125" t="b">
        <f>IF(VLOOKUP(Table2[[#This Row],[Home Team]],division_lookup,2,FALSE)=VLOOKUP(Table2[[#This Row],[Away Team]],division_lookup,2,FALSE),TRUE, FALSE)</f>
        <v>0</v>
      </c>
    </row>
    <row r="126" spans="1:31" x14ac:dyDescent="0.25">
      <c r="A126">
        <v>9</v>
      </c>
      <c r="B126" t="s">
        <v>22</v>
      </c>
      <c r="C126" t="s">
        <v>8</v>
      </c>
      <c r="D126">
        <v>27</v>
      </c>
      <c r="E126">
        <v>23</v>
      </c>
      <c r="F126" s="6">
        <f>VLOOKUP(Table2[[#This Row],[Home Team]],home_lookup,3,FALSE)+VLOOKUP(Table2[[#This Row],[Home Team]],off_pts_lookup,7,FALSE)+VLOOKUP(Table2[[#This Row],[Away Team]],def_diff_lookup,14,FALSE)</f>
        <v>29.49155291419822</v>
      </c>
      <c r="G126" s="6">
        <f>VLOOKUP(Table2[[#This Row],[Away Team]],off_pts_lookup,7,FALSE)+VLOOKUP(Table2[[#This Row],[Home Team]],def_diff_lookup,14,FALSE)</f>
        <v>16.62774621212121</v>
      </c>
      <c r="H126" s="3">
        <f>VLOOKUP(Table2[[#This Row],[Home Team]],pace_lookup,5,FALSE)</f>
        <v>56.9</v>
      </c>
      <c r="I126" s="3">
        <f>VLOOKUP(Table2[[#This Row],[Away Team]],pace_lookup,5,FALSE)</f>
        <v>62.6</v>
      </c>
      <c r="J126" s="13">
        <f t="shared" si="11"/>
        <v>50</v>
      </c>
      <c r="K126">
        <v>45</v>
      </c>
      <c r="N126" s="33">
        <f>Table2[[#This Row],[Home EV]]+Table2[[#This Row],[Away EV]]</f>
        <v>46.119299126319433</v>
      </c>
      <c r="O126" s="13">
        <f t="shared" si="14"/>
        <v>-4</v>
      </c>
      <c r="P126">
        <v>-3.5</v>
      </c>
      <c r="Q12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26" s="33">
        <v>-11.75</v>
      </c>
      <c r="S126" s="33">
        <f t="shared" si="16"/>
        <v>-8.8062500000000004</v>
      </c>
      <c r="T126" s="33"/>
      <c r="U126" s="33"/>
      <c r="V126" s="33">
        <f>-VLOOKUP(Table2[[#This Row],[Home Team]],home_lookup,3,FALSE)-VLOOKUP(B126,lookup,2,FALSE)+VLOOKUP(C126,lookup,2,FALSE)</f>
        <v>-12.063806702077009</v>
      </c>
      <c r="W126" s="1">
        <f t="shared" si="12"/>
        <v>4.8062500000000004</v>
      </c>
      <c r="X126" s="1">
        <f>Table2[[#This Row],[ERR (A)]]^2</f>
        <v>23.100039062500002</v>
      </c>
      <c r="Y126" s="1">
        <f t="shared" si="15"/>
        <v>8.0638067020770094</v>
      </c>
      <c r="Z126" s="1">
        <f>Table2[[#This Row],[ERR (B)]]^2</f>
        <v>65.0249785284621</v>
      </c>
      <c r="AA126" s="18">
        <f>Table2[[#This Row],[Pace (H)]]-Table2[[#This Row],[Pace (A)]]</f>
        <v>-5.7000000000000028</v>
      </c>
      <c r="AB126" s="19">
        <f>Table2[[#This Row],[Total EV]]-Table2[[#Totals],[Total EV]]</f>
        <v>-2.7524106851681935</v>
      </c>
      <c r="AC126" s="19">
        <f>Table2[[#This Row],[Total EV]]-Table2[[#This Row],[Total (V)]]</f>
        <v>1.119299126319433</v>
      </c>
      <c r="AD126" s="3">
        <f>Table2[[#This Row],[Margin (V)]]-Table2[[#This Row],[EV (A)]]</f>
        <v>5.3062500000000004</v>
      </c>
      <c r="AE126" t="b">
        <f>IF(VLOOKUP(Table2[[#This Row],[Home Team]],division_lookup,2,FALSE)=VLOOKUP(Table2[[#This Row],[Away Team]],division_lookup,2,FALSE),TRUE, FALSE)</f>
        <v>1</v>
      </c>
    </row>
    <row r="127" spans="1:31" x14ac:dyDescent="0.25">
      <c r="A127">
        <v>9</v>
      </c>
      <c r="B127" t="s">
        <v>14</v>
      </c>
      <c r="C127" t="s">
        <v>26</v>
      </c>
      <c r="D127">
        <v>10</v>
      </c>
      <c r="E127">
        <v>35</v>
      </c>
      <c r="F127" s="6">
        <f>VLOOKUP(Table2[[#This Row],[Home Team]],home_lookup,3,FALSE)+VLOOKUP(Table2[[#This Row],[Home Team]],off_pts_lookup,7,FALSE)+VLOOKUP(Table2[[#This Row],[Away Team]],def_diff_lookup,14,FALSE)</f>
        <v>12.414356909282233</v>
      </c>
      <c r="G127" s="6">
        <f>VLOOKUP(Table2[[#This Row],[Away Team]],off_pts_lookup,7,FALSE)+VLOOKUP(Table2[[#This Row],[Home Team]],def_diff_lookup,14,FALSE)</f>
        <v>35.173200757575756</v>
      </c>
      <c r="H127" s="3">
        <f>VLOOKUP(Table2[[#This Row],[Home Team]],pace_lookup,5,FALSE)</f>
        <v>60.090909090909093</v>
      </c>
      <c r="I127" s="3">
        <f>VLOOKUP(Table2[[#This Row],[Away Team]],pace_lookup,5,FALSE)</f>
        <v>66.5</v>
      </c>
      <c r="J127" s="13">
        <f t="shared" si="11"/>
        <v>45</v>
      </c>
      <c r="K127">
        <v>49.5</v>
      </c>
      <c r="N127" s="33">
        <f>Table2[[#This Row],[Home EV]]+Table2[[#This Row],[Away EV]]</f>
        <v>47.58755766685799</v>
      </c>
      <c r="O127" s="13">
        <f t="shared" si="14"/>
        <v>25</v>
      </c>
      <c r="P127">
        <v>7</v>
      </c>
      <c r="Q12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27" s="33">
        <v>12.14</v>
      </c>
      <c r="S127" s="33">
        <f t="shared" si="16"/>
        <v>15.49375</v>
      </c>
      <c r="T127" s="33"/>
      <c r="U127" s="33"/>
      <c r="V127" s="33">
        <f>-VLOOKUP(Table2[[#This Row],[Home Team]],home_lookup,3,FALSE)-VLOOKUP(B127,lookup,2,FALSE)+VLOOKUP(C127,lookup,2,FALSE)</f>
        <v>18.540662030111701</v>
      </c>
      <c r="W127" s="1">
        <f t="shared" si="12"/>
        <v>9.5062499999999996</v>
      </c>
      <c r="X127" s="1">
        <f>Table2[[#This Row],[ERR (A)]]^2</f>
        <v>90.368789062499999</v>
      </c>
      <c r="Y127" s="1">
        <f t="shared" si="15"/>
        <v>6.4593379698882991</v>
      </c>
      <c r="Z127" s="1">
        <f>Table2[[#This Row],[ERR (B)]]^2</f>
        <v>41.723047009240695</v>
      </c>
      <c r="AA127" s="18">
        <f>Table2[[#This Row],[Pace (H)]]-Table2[[#This Row],[Pace (A)]]</f>
        <v>-6.4090909090909065</v>
      </c>
      <c r="AB127" s="19">
        <f>Table2[[#This Row],[Total EV]]-Table2[[#Totals],[Total EV]]</f>
        <v>-1.2841521446296369</v>
      </c>
      <c r="AC127" s="19">
        <f>Table2[[#This Row],[Total EV]]-Table2[[#This Row],[Total (V)]]</f>
        <v>-1.9124423331420104</v>
      </c>
      <c r="AD127" s="3">
        <f>Table2[[#This Row],[Margin (V)]]-Table2[[#This Row],[EV (A)]]</f>
        <v>-8.4937500000000004</v>
      </c>
      <c r="AE127" t="b">
        <f>IF(VLOOKUP(Table2[[#This Row],[Home Team]],division_lookup,2,FALSE)=VLOOKUP(Table2[[#This Row],[Away Team]],division_lookup,2,FALSE),TRUE, FALSE)</f>
        <v>0</v>
      </c>
    </row>
    <row r="128" spans="1:31" x14ac:dyDescent="0.25">
      <c r="A128">
        <v>9</v>
      </c>
      <c r="B128" t="s">
        <v>25</v>
      </c>
      <c r="C128" t="s">
        <v>13</v>
      </c>
      <c r="D128">
        <v>28</v>
      </c>
      <c r="E128">
        <v>23</v>
      </c>
      <c r="F128" s="6">
        <f>VLOOKUP(Table2[[#This Row],[Home Team]],home_lookup,3,FALSE)+VLOOKUP(Table2[[#This Row],[Home Team]],off_pts_lookup,7,FALSE)+VLOOKUP(Table2[[#This Row],[Away Team]],def_diff_lookup,14,FALSE)</f>
        <v>19.270875024346317</v>
      </c>
      <c r="G128" s="6">
        <f>VLOOKUP(Table2[[#This Row],[Away Team]],off_pts_lookup,7,FALSE)+VLOOKUP(Table2[[#This Row],[Home Team]],def_diff_lookup,14,FALSE)</f>
        <v>21.227746212121211</v>
      </c>
      <c r="H128" s="3">
        <f>VLOOKUP(Table2[[#This Row],[Home Team]],pace_lookup,5,FALSE)</f>
        <v>62.6</v>
      </c>
      <c r="I128" s="3">
        <f>VLOOKUP(Table2[[#This Row],[Away Team]],pace_lookup,5,FALSE)</f>
        <v>65.5</v>
      </c>
      <c r="J128" s="13">
        <f t="shared" si="11"/>
        <v>51</v>
      </c>
      <c r="K128">
        <v>43</v>
      </c>
      <c r="N128" s="33">
        <f>Table2[[#This Row],[Home EV]]+Table2[[#This Row],[Away EV]]</f>
        <v>40.498621236467528</v>
      </c>
      <c r="O128" s="13">
        <f t="shared" si="14"/>
        <v>-5</v>
      </c>
      <c r="P128">
        <v>-3</v>
      </c>
      <c r="Q12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8" s="33">
        <v>6.48</v>
      </c>
      <c r="S128" s="33">
        <f t="shared" si="16"/>
        <v>3.9937500000000004</v>
      </c>
      <c r="T128" s="33"/>
      <c r="U128" s="33"/>
      <c r="V128" s="33">
        <f>-VLOOKUP(Table2[[#This Row],[Home Team]],home_lookup,3,FALSE)-VLOOKUP(B128,lookup,2,FALSE)+VLOOKUP(C128,lookup,2,FALSE)</f>
        <v>3.7568711877748928</v>
      </c>
      <c r="W128" s="1">
        <f t="shared" si="12"/>
        <v>-8.9937500000000004</v>
      </c>
      <c r="X128" s="1">
        <f>Table2[[#This Row],[ERR (A)]]^2</f>
        <v>80.887539062500011</v>
      </c>
      <c r="Y128" s="1">
        <f t="shared" si="15"/>
        <v>-8.7568711877748928</v>
      </c>
      <c r="Z128" s="1">
        <f>Table2[[#This Row],[ERR (B)]]^2</f>
        <v>76.682792999282057</v>
      </c>
      <c r="AA128" s="18">
        <f>Table2[[#This Row],[Pace (H)]]-Table2[[#This Row],[Pace (A)]]</f>
        <v>-2.8999999999999986</v>
      </c>
      <c r="AB128" s="19">
        <f>Table2[[#This Row],[Total EV]]-Table2[[#Totals],[Total EV]]</f>
        <v>-8.3730885750200983</v>
      </c>
      <c r="AC128" s="19">
        <f>Table2[[#This Row],[Total EV]]-Table2[[#This Row],[Total (V)]]</f>
        <v>-2.5013787635324718</v>
      </c>
      <c r="AD128" s="3">
        <f>Table2[[#This Row],[Margin (V)]]-Table2[[#This Row],[EV (A)]]</f>
        <v>-6.9937500000000004</v>
      </c>
      <c r="AE128" t="b">
        <f>IF(VLOOKUP(Table2[[#This Row],[Home Team]],division_lookup,2,FALSE)=VLOOKUP(Table2[[#This Row],[Away Team]],division_lookup,2,FALSE),TRUE, FALSE)</f>
        <v>1</v>
      </c>
    </row>
    <row r="129" spans="1:31" x14ac:dyDescent="0.25">
      <c r="A129">
        <v>9</v>
      </c>
      <c r="B129" t="s">
        <v>32</v>
      </c>
      <c r="C129" t="s">
        <v>2</v>
      </c>
      <c r="D129">
        <v>10</v>
      </c>
      <c r="E129">
        <v>13</v>
      </c>
      <c r="F129" s="6">
        <f>VLOOKUP(Table2[[#This Row],[Home Team]],home_lookup,3,FALSE)+VLOOKUP(Table2[[#This Row],[Home Team]],off_pts_lookup,7,FALSE)+VLOOKUP(Table2[[#This Row],[Away Team]],def_diff_lookup,14,FALSE)</f>
        <v>19.657562891220941</v>
      </c>
      <c r="G129" s="6">
        <f>VLOOKUP(Table2[[#This Row],[Away Team]],off_pts_lookup,7,FALSE)+VLOOKUP(Table2[[#This Row],[Home Team]],def_diff_lookup,14,FALSE)</f>
        <v>20.227746212121207</v>
      </c>
      <c r="H129" s="3">
        <f>VLOOKUP(Table2[[#This Row],[Home Team]],pace_lookup,5,FALSE)</f>
        <v>62.2</v>
      </c>
      <c r="I129" s="3">
        <f>VLOOKUP(Table2[[#This Row],[Away Team]],pace_lookup,5,FALSE)</f>
        <v>66.8</v>
      </c>
      <c r="J129" s="13">
        <f t="shared" si="11"/>
        <v>23</v>
      </c>
      <c r="K129">
        <v>44.5</v>
      </c>
      <c r="N129" s="33">
        <f>Table2[[#This Row],[Home EV]]+Table2[[#This Row],[Away EV]]</f>
        <v>39.885309103342152</v>
      </c>
      <c r="O129" s="13">
        <f t="shared" si="14"/>
        <v>3</v>
      </c>
      <c r="P129">
        <v>3</v>
      </c>
      <c r="Q12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29" s="33">
        <v>0.67</v>
      </c>
      <c r="S129" s="33">
        <f t="shared" si="16"/>
        <v>1.1937499999999999</v>
      </c>
      <c r="T129" s="33"/>
      <c r="U129" s="33"/>
      <c r="V129" s="33">
        <f>-VLOOKUP(Table2[[#This Row],[Home Team]],home_lookup,3,FALSE)-VLOOKUP(B129,lookup,2,FALSE)+VLOOKUP(C129,lookup,2,FALSE)</f>
        <v>1.0701833209002716</v>
      </c>
      <c r="W129" s="1">
        <f t="shared" si="12"/>
        <v>1.8062500000000001</v>
      </c>
      <c r="X129" s="1">
        <f>Table2[[#This Row],[ERR (A)]]^2</f>
        <v>3.2625390625000006</v>
      </c>
      <c r="Y129" s="1">
        <f t="shared" si="15"/>
        <v>1.9298166790997284</v>
      </c>
      <c r="Z129" s="1">
        <f>Table2[[#This Row],[ERR (B)]]^2</f>
        <v>3.7241924149315042</v>
      </c>
      <c r="AA129" s="18">
        <f>Table2[[#This Row],[Pace (H)]]-Table2[[#This Row],[Pace (A)]]</f>
        <v>-4.5999999999999943</v>
      </c>
      <c r="AB129" s="19">
        <f>Table2[[#This Row],[Total EV]]-Table2[[#Totals],[Total EV]]</f>
        <v>-8.9864007081454744</v>
      </c>
      <c r="AC129" s="19">
        <f>Table2[[#This Row],[Total EV]]-Table2[[#This Row],[Total (V)]]</f>
        <v>-4.6146908966578479</v>
      </c>
      <c r="AD129" s="3">
        <f>Table2[[#This Row],[Margin (V)]]-Table2[[#This Row],[EV (A)]]</f>
        <v>1.8062500000000001</v>
      </c>
      <c r="AE129" t="b">
        <f>IF(VLOOKUP(Table2[[#This Row],[Home Team]],division_lookup,2,FALSE)=VLOOKUP(Table2[[#This Row],[Away Team]],division_lookup,2,FALSE),TRUE, FALSE)</f>
        <v>0</v>
      </c>
    </row>
    <row r="130" spans="1:31" x14ac:dyDescent="0.25">
      <c r="A130">
        <v>9</v>
      </c>
      <c r="B130" t="s">
        <v>31</v>
      </c>
      <c r="C130" t="s">
        <v>16</v>
      </c>
      <c r="D130">
        <v>23</v>
      </c>
      <c r="E130">
        <v>41</v>
      </c>
      <c r="F130" s="6">
        <f>VLOOKUP(Table2[[#This Row],[Home Team]],home_lookup,3,FALSE)+VLOOKUP(Table2[[#This Row],[Home Team]],off_pts_lookup,7,FALSE)+VLOOKUP(Table2[[#This Row],[Away Team]],def_diff_lookup,14,FALSE)</f>
        <v>35.890382244393322</v>
      </c>
      <c r="G130" s="6">
        <f>VLOOKUP(Table2[[#This Row],[Away Team]],off_pts_lookup,7,FALSE)+VLOOKUP(Table2[[#This Row],[Home Team]],def_diff_lookup,14,FALSE)</f>
        <v>36.927746212121207</v>
      </c>
      <c r="H130" s="3">
        <f>VLOOKUP(Table2[[#This Row],[Home Team]],pace_lookup,5,FALSE)</f>
        <v>63</v>
      </c>
      <c r="I130" s="3">
        <f>VLOOKUP(Table2[[#This Row],[Away Team]],pace_lookup,5,FALSE)</f>
        <v>69.400000000000006</v>
      </c>
      <c r="J130" s="13">
        <f t="shared" si="11"/>
        <v>64</v>
      </c>
      <c r="K130">
        <v>53</v>
      </c>
      <c r="N130" s="33">
        <f>Table2[[#This Row],[Home EV]]+Table2[[#This Row],[Away EV]]</f>
        <v>72.818128456514529</v>
      </c>
      <c r="O130" s="13">
        <f t="shared" si="14"/>
        <v>18</v>
      </c>
      <c r="P130">
        <v>4.5</v>
      </c>
      <c r="Q13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30" s="33">
        <v>2.93</v>
      </c>
      <c r="S130" s="33">
        <f t="shared" si="16"/>
        <v>7.8937500000000007</v>
      </c>
      <c r="T130" s="33"/>
      <c r="U130" s="33"/>
      <c r="V130" s="33">
        <f>-VLOOKUP(Table2[[#This Row],[Home Team]],home_lookup,3,FALSE)-VLOOKUP(B130,lookup,2,FALSE)+VLOOKUP(C130,lookup,2,FALSE)</f>
        <v>1.0373639677278934</v>
      </c>
      <c r="W130" s="1">
        <f t="shared" si="12"/>
        <v>10.106249999999999</v>
      </c>
      <c r="X130" s="1">
        <f>Table2[[#This Row],[ERR (A)]]^2</f>
        <v>102.13628906249998</v>
      </c>
      <c r="Y130" s="1">
        <f t="shared" ref="Y130:Y162" si="17">$O130-V130</f>
        <v>16.962636032272108</v>
      </c>
      <c r="Z130" s="1">
        <f>Table2[[#This Row],[ERR (B)]]^2</f>
        <v>287.73102116333604</v>
      </c>
      <c r="AA130" s="18">
        <f>Table2[[#This Row],[Pace (H)]]-Table2[[#This Row],[Pace (A)]]</f>
        <v>-6.4000000000000057</v>
      </c>
      <c r="AB130" s="19">
        <f>Table2[[#This Row],[Total EV]]-Table2[[#Totals],[Total EV]]</f>
        <v>23.946418645026903</v>
      </c>
      <c r="AC130" s="19">
        <f>Table2[[#This Row],[Total EV]]-Table2[[#This Row],[Total (V)]]</f>
        <v>19.818128456514529</v>
      </c>
      <c r="AD130" s="3">
        <f>Table2[[#This Row],[Margin (V)]]-Table2[[#This Row],[EV (A)]]</f>
        <v>-3.3937500000000007</v>
      </c>
      <c r="AE130" t="b">
        <f>IF(VLOOKUP(Table2[[#This Row],[Home Team]],division_lookup,2,FALSE)=VLOOKUP(Table2[[#This Row],[Away Team]],division_lookup,2,FALSE),TRUE, FALSE)</f>
        <v>0</v>
      </c>
    </row>
    <row r="131" spans="1:31" x14ac:dyDescent="0.25">
      <c r="A131">
        <v>9</v>
      </c>
      <c r="B131" t="s">
        <v>3</v>
      </c>
      <c r="C131" t="s">
        <v>24</v>
      </c>
      <c r="D131">
        <v>26</v>
      </c>
      <c r="E131">
        <v>31</v>
      </c>
      <c r="F131" s="6">
        <f>VLOOKUP(Table2[[#This Row],[Home Team]],home_lookup,3,FALSE)+VLOOKUP(Table2[[#This Row],[Home Team]],off_pts_lookup,7,FALSE)+VLOOKUP(Table2[[#This Row],[Away Team]],def_diff_lookup,14,FALSE)</f>
        <v>32.730542379597452</v>
      </c>
      <c r="G131" s="6">
        <f>VLOOKUP(Table2[[#This Row],[Away Team]],off_pts_lookup,7,FALSE)+VLOOKUP(Table2[[#This Row],[Home Team]],def_diff_lookup,14,FALSE)</f>
        <v>31.027746212121208</v>
      </c>
      <c r="H131" s="3">
        <f>VLOOKUP(Table2[[#This Row],[Home Team]],pace_lookup,5,FALSE)</f>
        <v>66.2</v>
      </c>
      <c r="I131" s="3">
        <f>VLOOKUP(Table2[[#This Row],[Away Team]],pace_lookup,5,FALSE)</f>
        <v>65.5</v>
      </c>
      <c r="J131" s="13">
        <f t="shared" ref="J131:J162" si="18">D131+E131</f>
        <v>57</v>
      </c>
      <c r="K131">
        <v>53</v>
      </c>
      <c r="N131" s="33">
        <f>Table2[[#This Row],[Home EV]]+Table2[[#This Row],[Away EV]]</f>
        <v>63.75828859171866</v>
      </c>
      <c r="O131" s="13">
        <f t="shared" si="14"/>
        <v>5</v>
      </c>
      <c r="P131">
        <v>-7.5</v>
      </c>
      <c r="Q13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31" s="33">
        <v>-10.16</v>
      </c>
      <c r="S131" s="33">
        <f t="shared" si="16"/>
        <v>-3.90625</v>
      </c>
      <c r="T131" s="33"/>
      <c r="U131" s="33"/>
      <c r="V131" s="33">
        <f>-VLOOKUP(Table2[[#This Row],[Home Team]],home_lookup,3,FALSE)-VLOOKUP(B131,lookup,2,FALSE)+VLOOKUP(C131,lookup,2,FALSE)</f>
        <v>-4.6027961674762476</v>
      </c>
      <c r="W131" s="1">
        <f t="shared" ref="W131:W148" si="19">$O131-S131</f>
        <v>8.90625</v>
      </c>
      <c r="X131" s="1">
        <f>Table2[[#This Row],[ERR (A)]]^2</f>
        <v>79.3212890625</v>
      </c>
      <c r="Y131" s="1">
        <f t="shared" si="17"/>
        <v>9.6027961674762476</v>
      </c>
      <c r="Z131" s="1">
        <f>Table2[[#This Row],[ERR (B)]]^2</f>
        <v>92.213694234096508</v>
      </c>
      <c r="AA131" s="18">
        <f>Table2[[#This Row],[Pace (H)]]-Table2[[#This Row],[Pace (A)]]</f>
        <v>0.70000000000000284</v>
      </c>
      <c r="AB131" s="19">
        <f>Table2[[#This Row],[Total EV]]-Table2[[#Totals],[Total EV]]</f>
        <v>14.886578780231034</v>
      </c>
      <c r="AC131" s="19">
        <f>Table2[[#This Row],[Total EV]]-Table2[[#This Row],[Total (V)]]</f>
        <v>10.75828859171866</v>
      </c>
      <c r="AD131" s="3">
        <f>Table2[[#This Row],[Margin (V)]]-Table2[[#This Row],[EV (A)]]</f>
        <v>-3.59375</v>
      </c>
      <c r="AE131" t="b">
        <f>IF(VLOOKUP(Table2[[#This Row],[Home Team]],division_lookup,2,FALSE)=VLOOKUP(Table2[[#This Row],[Away Team]],division_lookup,2,FALSE),TRUE, FALSE)</f>
        <v>0</v>
      </c>
    </row>
    <row r="132" spans="1:31" x14ac:dyDescent="0.25">
      <c r="A132">
        <v>9</v>
      </c>
      <c r="B132" t="s">
        <v>18</v>
      </c>
      <c r="C132" t="s">
        <v>12</v>
      </c>
      <c r="D132">
        <v>43</v>
      </c>
      <c r="E132">
        <v>35</v>
      </c>
      <c r="F132" s="6">
        <f>VLOOKUP(Table2[[#This Row],[Home Team]],home_lookup,3,FALSE)+VLOOKUP(Table2[[#This Row],[Home Team]],off_pts_lookup,7,FALSE)+VLOOKUP(Table2[[#This Row],[Away Team]],def_diff_lookup,14,FALSE)</f>
        <v>34.609644472094018</v>
      </c>
      <c r="G132" s="6">
        <f>VLOOKUP(Table2[[#This Row],[Away Team]],off_pts_lookup,7,FALSE)+VLOOKUP(Table2[[#This Row],[Home Team]],def_diff_lookup,14,FALSE)</f>
        <v>30.473200757575754</v>
      </c>
      <c r="H132" s="3">
        <f>VLOOKUP(Table2[[#This Row],[Home Team]],pace_lookup,5,FALSE)</f>
        <v>66.400000000000006</v>
      </c>
      <c r="I132" s="3">
        <f>VLOOKUP(Table2[[#This Row],[Away Team]],pace_lookup,5,FALSE)</f>
        <v>63.909090909090907</v>
      </c>
      <c r="J132" s="13">
        <f t="shared" si="18"/>
        <v>78</v>
      </c>
      <c r="K132">
        <v>47.5</v>
      </c>
      <c r="N132" s="33">
        <f>Table2[[#This Row],[Home EV]]+Table2[[#This Row],[Away EV]]</f>
        <v>65.082845229669772</v>
      </c>
      <c r="O132" s="13">
        <f t="shared" si="14"/>
        <v>-8</v>
      </c>
      <c r="P132">
        <v>-3.5</v>
      </c>
      <c r="Q13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2" s="33">
        <v>-13.48</v>
      </c>
      <c r="S132" s="33">
        <f t="shared" si="16"/>
        <v>-6.8062500000000004</v>
      </c>
      <c r="T132" s="33"/>
      <c r="U132" s="33"/>
      <c r="V132" s="33">
        <f>-VLOOKUP(Table2[[#This Row],[Home Team]],home_lookup,3,FALSE)-VLOOKUP(B132,lookup,2,FALSE)+VLOOKUP(C132,lookup,2,FALSE)</f>
        <v>-7.1818982599728063</v>
      </c>
      <c r="W132" s="1">
        <f t="shared" si="19"/>
        <v>-1.1937499999999996</v>
      </c>
      <c r="X132" s="1">
        <f>Table2[[#This Row],[ERR (A)]]^2</f>
        <v>1.4250390624999991</v>
      </c>
      <c r="Y132" s="1">
        <f t="shared" si="17"/>
        <v>-0.81810174002719371</v>
      </c>
      <c r="Z132" s="1">
        <f>Table2[[#This Row],[ERR (B)]]^2</f>
        <v>0.66929045703552204</v>
      </c>
      <c r="AA132" s="18">
        <f>Table2[[#This Row],[Pace (H)]]-Table2[[#This Row],[Pace (A)]]</f>
        <v>2.4909090909090992</v>
      </c>
      <c r="AB132" s="19">
        <f>Table2[[#This Row],[Total EV]]-Table2[[#Totals],[Total EV]]</f>
        <v>16.211135418182145</v>
      </c>
      <c r="AC132" s="19">
        <f>Table2[[#This Row],[Total EV]]-Table2[[#This Row],[Total (V)]]</f>
        <v>17.582845229669772</v>
      </c>
      <c r="AD132" s="3">
        <f>Table2[[#This Row],[Margin (V)]]-Table2[[#This Row],[EV (A)]]</f>
        <v>3.3062500000000004</v>
      </c>
      <c r="AE132" t="b">
        <f>IF(VLOOKUP(Table2[[#This Row],[Home Team]],division_lookup,2,FALSE)=VLOOKUP(Table2[[#This Row],[Away Team]],division_lookup,2,FALSE),TRUE, FALSE)</f>
        <v>0</v>
      </c>
    </row>
    <row r="133" spans="1:31" x14ac:dyDescent="0.25">
      <c r="A133">
        <v>9</v>
      </c>
      <c r="B133" t="s">
        <v>15</v>
      </c>
      <c r="C133" t="s">
        <v>1</v>
      </c>
      <c r="D133">
        <v>30</v>
      </c>
      <c r="E133">
        <v>20</v>
      </c>
      <c r="F133" s="6">
        <f>VLOOKUP(Table2[[#This Row],[Home Team]],home_lookup,3,FALSE)+VLOOKUP(Table2[[#This Row],[Home Team]],off_pts_lookup,7,FALSE)+VLOOKUP(Table2[[#This Row],[Away Team]],def_diff_lookup,14,FALSE)</f>
        <v>21.677082137443662</v>
      </c>
      <c r="G133" s="6">
        <f>VLOOKUP(Table2[[#This Row],[Away Team]],off_pts_lookup,7,FALSE)+VLOOKUP(Table2[[#This Row],[Home Team]],def_diff_lookup,14,FALSE)</f>
        <v>25.805523989898987</v>
      </c>
      <c r="H133" s="3">
        <f>VLOOKUP(Table2[[#This Row],[Home Team]],pace_lookup,5,FALSE)</f>
        <v>67</v>
      </c>
      <c r="I133" s="3">
        <f>VLOOKUP(Table2[[#This Row],[Away Team]],pace_lookup,5,FALSE)</f>
        <v>64</v>
      </c>
      <c r="J133" s="13">
        <f t="shared" si="18"/>
        <v>50</v>
      </c>
      <c r="K133">
        <v>43.5</v>
      </c>
      <c r="N133" s="33">
        <f>Table2[[#This Row],[Home EV]]+Table2[[#This Row],[Away EV]]</f>
        <v>47.482606127342649</v>
      </c>
      <c r="O133" s="13">
        <f t="shared" si="14"/>
        <v>-10</v>
      </c>
      <c r="P133">
        <v>-1</v>
      </c>
      <c r="Q13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33" s="33">
        <v>1.98</v>
      </c>
      <c r="S133" s="33">
        <f t="shared" si="16"/>
        <v>-0.80624999999999947</v>
      </c>
      <c r="T133" s="33"/>
      <c r="U133" s="33"/>
      <c r="V133" s="33">
        <f>-VLOOKUP(Table2[[#This Row],[Home Team]],home_lookup,3,FALSE)-VLOOKUP(B133,lookup,2,FALSE)+VLOOKUP(C133,lookup,2,FALSE)</f>
        <v>3.672886296899768</v>
      </c>
      <c r="W133" s="1">
        <f t="shared" si="19"/>
        <v>-9.1937500000000014</v>
      </c>
      <c r="X133" s="1">
        <f>Table2[[#This Row],[ERR (A)]]^2</f>
        <v>84.525039062500028</v>
      </c>
      <c r="Y133" s="1">
        <f t="shared" si="17"/>
        <v>-13.672886296899769</v>
      </c>
      <c r="Z133" s="1">
        <f>Table2[[#This Row],[ERR (B)]]^2</f>
        <v>186.94781968794948</v>
      </c>
      <c r="AA133" s="18">
        <f>Table2[[#This Row],[Pace (H)]]-Table2[[#This Row],[Pace (A)]]</f>
        <v>3</v>
      </c>
      <c r="AB133" s="19">
        <f>Table2[[#This Row],[Total EV]]-Table2[[#Totals],[Total EV]]</f>
        <v>-1.3891036841449775</v>
      </c>
      <c r="AC133" s="19">
        <f>Table2[[#This Row],[Total EV]]-Table2[[#This Row],[Total (V)]]</f>
        <v>3.982606127342649</v>
      </c>
      <c r="AD133" s="3">
        <f>Table2[[#This Row],[Margin (V)]]-Table2[[#This Row],[EV (A)]]</f>
        <v>-0.19375000000000053</v>
      </c>
      <c r="AE133" t="b">
        <f>IF(VLOOKUP(Table2[[#This Row],[Home Team]],division_lookup,2,FALSE)=VLOOKUP(Table2[[#This Row],[Away Team]],division_lookup,2,FALSE),TRUE, FALSE)</f>
        <v>1</v>
      </c>
    </row>
    <row r="134" spans="1:31" ht="15.75" thickBot="1" x14ac:dyDescent="0.3">
      <c r="A134" s="9">
        <v>9</v>
      </c>
      <c r="B134" s="9" t="s">
        <v>21</v>
      </c>
      <c r="C134" s="9" t="s">
        <v>6</v>
      </c>
      <c r="D134" s="9">
        <v>31</v>
      </c>
      <c r="E134" s="9">
        <v>25</v>
      </c>
      <c r="F134" s="30">
        <f>VLOOKUP(Table2[[#This Row],[Home Team]],home_lookup,3,FALSE)+VLOOKUP(Table2[[#This Row],[Home Team]],off_pts_lookup,7,FALSE)+VLOOKUP(Table2[[#This Row],[Away Team]],def_diff_lookup,14,FALSE)</f>
        <v>23.482532156854123</v>
      </c>
      <c r="G134" s="30">
        <f>VLOOKUP(Table2[[#This Row],[Away Team]],off_pts_lookup,7,FALSE)+VLOOKUP(Table2[[#This Row],[Home Team]],def_diff_lookup,14,FALSE)</f>
        <v>18.227746212121207</v>
      </c>
      <c r="H134" s="15">
        <f>VLOOKUP(Table2[[#This Row],[Home Team]],pace_lookup,5,FALSE)</f>
        <v>61.1</v>
      </c>
      <c r="I134" s="15">
        <f>VLOOKUP(Table2[[#This Row],[Away Team]],pace_lookup,5,FALSE)</f>
        <v>62.5</v>
      </c>
      <c r="J134" s="14">
        <f t="shared" si="18"/>
        <v>56</v>
      </c>
      <c r="K134" s="9">
        <v>44</v>
      </c>
      <c r="L134" s="38"/>
      <c r="M134" s="9"/>
      <c r="N134" s="34">
        <f>Table2[[#This Row],[Home EV]]+Table2[[#This Row],[Away EV]]</f>
        <v>41.710278368975331</v>
      </c>
      <c r="O134" s="14">
        <f t="shared" si="14"/>
        <v>-6</v>
      </c>
      <c r="P134" s="9">
        <v>-7</v>
      </c>
      <c r="Q134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4" s="34">
        <v>0.22</v>
      </c>
      <c r="S134" s="34">
        <f t="shared" si="16"/>
        <v>-2.90625</v>
      </c>
      <c r="T134" s="34"/>
      <c r="U134" s="34"/>
      <c r="V134" s="34">
        <f>-VLOOKUP(Table2[[#This Row],[Home Team]],home_lookup,3,FALSE)-VLOOKUP(B134,lookup,2,FALSE)+VLOOKUP(C134,lookup,2,FALSE)</f>
        <v>-2.9547859447329152</v>
      </c>
      <c r="W134" s="16">
        <f t="shared" si="19"/>
        <v>-3.09375</v>
      </c>
      <c r="X134" s="16">
        <f>Table2[[#This Row],[ERR (A)]]^2</f>
        <v>9.5712890625</v>
      </c>
      <c r="Y134" s="16">
        <f t="shared" si="17"/>
        <v>-3.0452140552670848</v>
      </c>
      <c r="Z134" s="16">
        <f>Table2[[#This Row],[ERR (B)]]^2</f>
        <v>9.2733286423962031</v>
      </c>
      <c r="AA134" s="24">
        <f>Table2[[#This Row],[Pace (H)]]-Table2[[#This Row],[Pace (A)]]</f>
        <v>-1.3999999999999986</v>
      </c>
      <c r="AB134" s="15">
        <f>Table2[[#This Row],[Total EV]]-Table2[[#Totals],[Total EV]]</f>
        <v>-7.1614314425122956</v>
      </c>
      <c r="AC134" s="15">
        <f>Table2[[#This Row],[Total EV]]-Table2[[#This Row],[Total (V)]]</f>
        <v>-2.2897216310246691</v>
      </c>
      <c r="AD134" s="15">
        <f>Table2[[#This Row],[Margin (V)]]-Table2[[#This Row],[EV (A)]]</f>
        <v>-4.09375</v>
      </c>
      <c r="AE134" s="9" t="b">
        <f>IF(VLOOKUP(Table2[[#This Row],[Home Team]],division_lookup,2,FALSE)=VLOOKUP(Table2[[#This Row],[Away Team]],division_lookup,2,FALSE),TRUE, FALSE)</f>
        <v>0</v>
      </c>
    </row>
    <row r="135" spans="1:31" x14ac:dyDescent="0.25">
      <c r="A135">
        <v>10</v>
      </c>
      <c r="B135" t="s">
        <v>5</v>
      </c>
      <c r="C135" t="s">
        <v>14</v>
      </c>
      <c r="D135">
        <v>28</v>
      </c>
      <c r="E135">
        <v>7</v>
      </c>
      <c r="F135" s="6">
        <f>VLOOKUP(Table2[[#This Row],[Home Team]],home_lookup,3,FALSE)+VLOOKUP(Table2[[#This Row],[Home Team]],off_pts_lookup,7,FALSE)+VLOOKUP(Table2[[#This Row],[Away Team]],def_diff_lookup,14,FALSE)</f>
        <v>32.634004528170571</v>
      </c>
      <c r="G135" s="6">
        <f>VLOOKUP(Table2[[#This Row],[Away Team]],off_pts_lookup,7,FALSE)+VLOOKUP(Table2[[#This Row],[Home Team]],def_diff_lookup,14,FALSE)</f>
        <v>12.555018939393939</v>
      </c>
      <c r="H135" s="3">
        <f>VLOOKUP(Table2[[#This Row],[Home Team]],pace_lookup,5,FALSE)</f>
        <v>67.400000000000006</v>
      </c>
      <c r="I135" s="3">
        <f>VLOOKUP(Table2[[#This Row],[Away Team]],pace_lookup,5,FALSE)</f>
        <v>60.090909090909093</v>
      </c>
      <c r="J135" s="13">
        <f t="shared" si="18"/>
        <v>35</v>
      </c>
      <c r="K135">
        <v>44.5</v>
      </c>
      <c r="N135" s="33">
        <f>Table2[[#This Row],[Home EV]]+Table2[[#This Row],[Away EV]]</f>
        <v>45.18902346756451</v>
      </c>
      <c r="O135" s="13">
        <f t="shared" si="14"/>
        <v>-21</v>
      </c>
      <c r="P135">
        <v>-8</v>
      </c>
      <c r="Q13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5" s="33">
        <v>-11.37</v>
      </c>
      <c r="S135" s="33">
        <f t="shared" si="16"/>
        <v>-13.00625</v>
      </c>
      <c r="T135" s="33"/>
      <c r="U135" s="33"/>
      <c r="V135" s="33">
        <f>-VLOOKUP(Table2[[#This Row],[Home Team]],home_lookup,3,FALSE)-VLOOKUP(B135,lookup,2,FALSE)+VLOOKUP(C135,lookup,2,FALSE)</f>
        <v>-16.160803770594814</v>
      </c>
      <c r="W135" s="1">
        <f t="shared" si="19"/>
        <v>-7.9937500000000004</v>
      </c>
      <c r="X135" s="1">
        <f>Table2[[#This Row],[ERR (A)]]^2</f>
        <v>63.900039062500007</v>
      </c>
      <c r="Y135" s="1">
        <f t="shared" si="17"/>
        <v>-4.8391962294051858</v>
      </c>
      <c r="Z135" s="1">
        <f>Table2[[#This Row],[ERR (B)]]^2</f>
        <v>23.417820146689369</v>
      </c>
      <c r="AA135" s="18">
        <f>Table2[[#This Row],[Pace (H)]]-Table2[[#This Row],[Pace (A)]]</f>
        <v>7.3090909090909122</v>
      </c>
      <c r="AB135" s="19">
        <f>Table2[[#This Row],[Total EV]]-Table2[[#Totals],[Total EV]]</f>
        <v>-3.6826863439231161</v>
      </c>
      <c r="AC135" s="19">
        <f>Table2[[#This Row],[Total EV]]-Table2[[#This Row],[Total (V)]]</f>
        <v>0.68902346756451038</v>
      </c>
      <c r="AD135" s="3">
        <f>Table2[[#This Row],[Margin (V)]]-Table2[[#This Row],[EV (A)]]</f>
        <v>5.0062499999999996</v>
      </c>
      <c r="AE135" t="b">
        <f>IF(VLOOKUP(Table2[[#This Row],[Home Team]],division_lookup,2,FALSE)=VLOOKUP(Table2[[#This Row],[Away Team]],division_lookup,2,FALSE),TRUE, FALSE)</f>
        <v>1</v>
      </c>
    </row>
    <row r="136" spans="1:31" x14ac:dyDescent="0.25">
      <c r="A136">
        <v>10</v>
      </c>
      <c r="B136" t="s">
        <v>13</v>
      </c>
      <c r="C136" t="s">
        <v>20</v>
      </c>
      <c r="D136">
        <v>24</v>
      </c>
      <c r="E136">
        <v>15</v>
      </c>
      <c r="F136" s="6">
        <f>VLOOKUP(Table2[[#This Row],[Home Team]],home_lookup,3,FALSE)+VLOOKUP(Table2[[#This Row],[Home Team]],off_pts_lookup,7,FALSE)+VLOOKUP(Table2[[#This Row],[Away Team]],def_diff_lookup,14,FALSE)</f>
        <v>39.406267554652729</v>
      </c>
      <c r="G136" s="6">
        <f>VLOOKUP(Table2[[#This Row],[Away Team]],off_pts_lookup,7,FALSE)+VLOOKUP(Table2[[#This Row],[Home Team]],def_diff_lookup,14,FALSE)</f>
        <v>27.727746212121207</v>
      </c>
      <c r="H136" s="3">
        <f>VLOOKUP(Table2[[#This Row],[Home Team]],pace_lookup,5,FALSE)</f>
        <v>65.5</v>
      </c>
      <c r="I136" s="3">
        <f>VLOOKUP(Table2[[#This Row],[Away Team]],pace_lookup,5,FALSE)</f>
        <v>61.9</v>
      </c>
      <c r="J136" s="13">
        <f t="shared" si="18"/>
        <v>39</v>
      </c>
      <c r="K136">
        <v>50</v>
      </c>
      <c r="N136" s="33">
        <f>Table2[[#This Row],[Home EV]]+Table2[[#This Row],[Away EV]]</f>
        <v>67.134013766773933</v>
      </c>
      <c r="O136" s="13">
        <f t="shared" si="14"/>
        <v>-9</v>
      </c>
      <c r="P136">
        <v>0</v>
      </c>
      <c r="Q13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6" s="33">
        <v>-4.96</v>
      </c>
      <c r="S136" s="33">
        <f t="shared" si="16"/>
        <v>-4.8062499999999995</v>
      </c>
      <c r="T136" s="33"/>
      <c r="U136" s="33"/>
      <c r="V136" s="33">
        <f>-VLOOKUP(Table2[[#This Row],[Home Team]],home_lookup,3,FALSE)-VLOOKUP(B136,lookup,2,FALSE)+VLOOKUP(C136,lookup,2,FALSE)</f>
        <v>-11.778521342531512</v>
      </c>
      <c r="W136" s="1">
        <f t="shared" si="19"/>
        <v>-4.1937500000000005</v>
      </c>
      <c r="X136" s="1">
        <f>Table2[[#This Row],[ERR (A)]]^2</f>
        <v>17.587539062500003</v>
      </c>
      <c r="Y136" s="1">
        <f t="shared" si="17"/>
        <v>2.7785213425315121</v>
      </c>
      <c r="Z136" s="1">
        <f>Table2[[#This Row],[ERR (B)]]^2</f>
        <v>7.720180850903116</v>
      </c>
      <c r="AA136" s="18">
        <f>Table2[[#This Row],[Pace (H)]]-Table2[[#This Row],[Pace (A)]]</f>
        <v>3.6000000000000014</v>
      </c>
      <c r="AB136" s="19">
        <f>Table2[[#This Row],[Total EV]]-Table2[[#Totals],[Total EV]]</f>
        <v>18.262303955286306</v>
      </c>
      <c r="AC136" s="19">
        <f>Table2[[#This Row],[Total EV]]-Table2[[#This Row],[Total (V)]]</f>
        <v>17.134013766773933</v>
      </c>
      <c r="AD136" s="3">
        <f>Table2[[#This Row],[Margin (V)]]-Table2[[#This Row],[EV (A)]]</f>
        <v>4.8062499999999995</v>
      </c>
      <c r="AE136" t="b">
        <f>IF(VLOOKUP(Table2[[#This Row],[Home Team]],division_lookup,2,FALSE)=VLOOKUP(Table2[[#This Row],[Away Team]],division_lookup,2,FALSE),TRUE, FALSE)</f>
        <v>0</v>
      </c>
    </row>
    <row r="137" spans="1:31" x14ac:dyDescent="0.25">
      <c r="A137">
        <v>10</v>
      </c>
      <c r="B137" t="s">
        <v>8</v>
      </c>
      <c r="C137" t="s">
        <v>32</v>
      </c>
      <c r="D137">
        <v>6</v>
      </c>
      <c r="E137">
        <v>9</v>
      </c>
      <c r="F137" s="6">
        <f>VLOOKUP(Table2[[#This Row],[Home Team]],home_lookup,3,FALSE)+VLOOKUP(Table2[[#This Row],[Home Team]],off_pts_lookup,7,FALSE)+VLOOKUP(Table2[[#This Row],[Away Team]],def_diff_lookup,14,FALSE)</f>
        <v>17.856807586320134</v>
      </c>
      <c r="G137" s="6">
        <f>VLOOKUP(Table2[[#This Row],[Away Team]],off_pts_lookup,7,FALSE)+VLOOKUP(Table2[[#This Row],[Home Team]],def_diff_lookup,14,FALSE)</f>
        <v>16.427746212121214</v>
      </c>
      <c r="H137" s="3">
        <f>VLOOKUP(Table2[[#This Row],[Home Team]],pace_lookup,5,FALSE)</f>
        <v>62.6</v>
      </c>
      <c r="I137" s="3">
        <f>VLOOKUP(Table2[[#This Row],[Away Team]],pace_lookup,5,FALSE)</f>
        <v>62.2</v>
      </c>
      <c r="J137" s="13">
        <f t="shared" si="18"/>
        <v>15</v>
      </c>
      <c r="K137">
        <v>40</v>
      </c>
      <c r="N137" s="33">
        <f>Table2[[#This Row],[Home EV]]+Table2[[#This Row],[Away EV]]</f>
        <v>34.284553798441351</v>
      </c>
      <c r="O137" s="13">
        <f t="shared" si="14"/>
        <v>3</v>
      </c>
      <c r="P137">
        <v>0</v>
      </c>
      <c r="Q13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37" s="33">
        <v>-2.76</v>
      </c>
      <c r="S137" s="33">
        <f t="shared" si="16"/>
        <v>-1.3062499999999995</v>
      </c>
      <c r="T137" s="33"/>
      <c r="U137" s="33"/>
      <c r="V137" s="33">
        <f>-VLOOKUP(Table2[[#This Row],[Home Team]],home_lookup,3,FALSE)-VLOOKUP(B137,lookup,2,FALSE)+VLOOKUP(C137,lookup,2,FALSE)</f>
        <v>-2.5290613741989239</v>
      </c>
      <c r="W137" s="1">
        <f t="shared" si="19"/>
        <v>4.3062499999999995</v>
      </c>
      <c r="X137" s="1">
        <f>Table2[[#This Row],[ERR (A)]]^2</f>
        <v>18.543789062499997</v>
      </c>
      <c r="Y137" s="1">
        <f t="shared" si="17"/>
        <v>5.5290613741989239</v>
      </c>
      <c r="Z137" s="1">
        <f>Table2[[#This Row],[ERR (B)]]^2</f>
        <v>30.570519679658492</v>
      </c>
      <c r="AA137" s="18">
        <f>Table2[[#This Row],[Pace (H)]]-Table2[[#This Row],[Pace (A)]]</f>
        <v>0.39999999999999858</v>
      </c>
      <c r="AB137" s="19">
        <f>Table2[[#This Row],[Total EV]]-Table2[[#Totals],[Total EV]]</f>
        <v>-14.587156013046275</v>
      </c>
      <c r="AC137" s="19">
        <f>Table2[[#This Row],[Total EV]]-Table2[[#This Row],[Total (V)]]</f>
        <v>-5.7154462015586489</v>
      </c>
      <c r="AD137" s="3">
        <f>Table2[[#This Row],[Margin (V)]]-Table2[[#This Row],[EV (A)]]</f>
        <v>1.3062499999999995</v>
      </c>
      <c r="AE137" t="b">
        <f>IF(VLOOKUP(Table2[[#This Row],[Home Team]],division_lookup,2,FALSE)=VLOOKUP(Table2[[#This Row],[Away Team]],division_lookup,2,FALSE),TRUE, FALSE)</f>
        <v>0</v>
      </c>
    </row>
    <row r="138" spans="1:31" x14ac:dyDescent="0.25">
      <c r="A138">
        <v>10</v>
      </c>
      <c r="B138" t="s">
        <v>12</v>
      </c>
      <c r="C138" t="s">
        <v>3</v>
      </c>
      <c r="D138">
        <v>47</v>
      </c>
      <c r="E138">
        <v>25</v>
      </c>
      <c r="F138" s="6">
        <f>VLOOKUP(Table2[[#This Row],[Home Team]],home_lookup,3,FALSE)+VLOOKUP(Table2[[#This Row],[Home Team]],off_pts_lookup,7,FALSE)+VLOOKUP(Table2[[#This Row],[Away Team]],def_diff_lookup,14,FALSE)</f>
        <v>30.80302136821577</v>
      </c>
      <c r="G138" s="6">
        <f>VLOOKUP(Table2[[#This Row],[Away Team]],off_pts_lookup,7,FALSE)+VLOOKUP(Table2[[#This Row],[Home Team]],def_diff_lookup,14,FALSE)</f>
        <v>26.827746212121212</v>
      </c>
      <c r="H138" s="3">
        <f>VLOOKUP(Table2[[#This Row],[Home Team]],pace_lookup,5,FALSE)</f>
        <v>63.909090909090907</v>
      </c>
      <c r="I138" s="3">
        <f>VLOOKUP(Table2[[#This Row],[Away Team]],pace_lookup,5,FALSE)</f>
        <v>66.2</v>
      </c>
      <c r="J138" s="13">
        <f t="shared" si="18"/>
        <v>72</v>
      </c>
      <c r="K138">
        <v>49.5</v>
      </c>
      <c r="N138" s="33">
        <f>Table2[[#This Row],[Home EV]]+Table2[[#This Row],[Away EV]]</f>
        <v>57.630767580336979</v>
      </c>
      <c r="O138" s="13">
        <f t="shared" si="14"/>
        <v>-22</v>
      </c>
      <c r="P138">
        <v>3</v>
      </c>
      <c r="Q138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8" s="33">
        <v>1.1399999999999999</v>
      </c>
      <c r="S138" s="33">
        <f t="shared" si="16"/>
        <v>-3.7062500000000003</v>
      </c>
      <c r="T138" s="33"/>
      <c r="U138" s="33"/>
      <c r="V138" s="33">
        <f>-VLOOKUP(Table2[[#This Row],[Home Team]],home_lookup,3,FALSE)-VLOOKUP(B138,lookup,2,FALSE)+VLOOKUP(C138,lookup,2,FALSE)</f>
        <v>-1.3298206106400179</v>
      </c>
      <c r="W138" s="1">
        <f t="shared" si="19"/>
        <v>-18.293749999999999</v>
      </c>
      <c r="X138" s="1">
        <f>Table2[[#This Row],[ERR (A)]]^2</f>
        <v>334.66128906249997</v>
      </c>
      <c r="Y138" s="1">
        <f t="shared" si="17"/>
        <v>-20.670179389359983</v>
      </c>
      <c r="Z138" s="1">
        <f>Table2[[#This Row],[ERR (B)]]^2</f>
        <v>427.25631598832229</v>
      </c>
      <c r="AA138" s="18">
        <f>Table2[[#This Row],[Pace (H)]]-Table2[[#This Row],[Pace (A)]]</f>
        <v>-2.2909090909090963</v>
      </c>
      <c r="AB138" s="19">
        <f>Table2[[#This Row],[Total EV]]-Table2[[#Totals],[Total EV]]</f>
        <v>8.7590577688493525</v>
      </c>
      <c r="AC138" s="19">
        <f>Table2[[#This Row],[Total EV]]-Table2[[#This Row],[Total (V)]]</f>
        <v>8.130767580336979</v>
      </c>
      <c r="AD138" s="3">
        <f>Table2[[#This Row],[Margin (V)]]-Table2[[#This Row],[EV (A)]]</f>
        <v>6.7062500000000007</v>
      </c>
      <c r="AE138" t="b">
        <f>IF(VLOOKUP(Table2[[#This Row],[Home Team]],division_lookup,2,FALSE)=VLOOKUP(Table2[[#This Row],[Away Team]],division_lookup,2,FALSE),TRUE, FALSE)</f>
        <v>0</v>
      </c>
    </row>
    <row r="139" spans="1:31" x14ac:dyDescent="0.25">
      <c r="A139">
        <v>10</v>
      </c>
      <c r="B139" t="s">
        <v>16</v>
      </c>
      <c r="C139" t="s">
        <v>1</v>
      </c>
      <c r="D139">
        <v>23</v>
      </c>
      <c r="E139">
        <v>25</v>
      </c>
      <c r="F139" s="6">
        <f>VLOOKUP(Table2[[#This Row],[Home Team]],home_lookup,3,FALSE)+VLOOKUP(Table2[[#This Row],[Home Team]],off_pts_lookup,7,FALSE)+VLOOKUP(Table2[[#This Row],[Away Team]],def_diff_lookup,14,FALSE)</f>
        <v>25.226063901248473</v>
      </c>
      <c r="G139" s="6">
        <f>VLOOKUP(Table2[[#This Row],[Away Team]],off_pts_lookup,7,FALSE)+VLOOKUP(Table2[[#This Row],[Home Team]],def_diff_lookup,14,FALSE)</f>
        <v>29.62774621212121</v>
      </c>
      <c r="H139" s="3">
        <f>VLOOKUP(Table2[[#This Row],[Home Team]],pace_lookup,5,FALSE)</f>
        <v>69.400000000000006</v>
      </c>
      <c r="I139" s="3">
        <f>VLOOKUP(Table2[[#This Row],[Away Team]],pace_lookup,5,FALSE)</f>
        <v>64</v>
      </c>
      <c r="J139" s="13">
        <f t="shared" si="18"/>
        <v>48</v>
      </c>
      <c r="K139">
        <v>49.5</v>
      </c>
      <c r="N139" s="33">
        <f>Table2[[#This Row],[Home EV]]+Table2[[#This Row],[Away EV]]</f>
        <v>54.853810113369683</v>
      </c>
      <c r="O139" s="13">
        <f t="shared" si="14"/>
        <v>2</v>
      </c>
      <c r="P139">
        <v>-3</v>
      </c>
      <c r="Q13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39" s="33">
        <v>0.84</v>
      </c>
      <c r="S139" s="33">
        <f t="shared" si="16"/>
        <v>0.99375000000000036</v>
      </c>
      <c r="T139" s="33"/>
      <c r="U139" s="33"/>
      <c r="V139" s="33">
        <f>-VLOOKUP(Table2[[#This Row],[Home Team]],home_lookup,3,FALSE)-VLOOKUP(B139,lookup,2,FALSE)+VLOOKUP(C139,lookup,2,FALSE)</f>
        <v>3.2016823108727372</v>
      </c>
      <c r="W139" s="1">
        <f t="shared" si="19"/>
        <v>1.0062499999999996</v>
      </c>
      <c r="X139" s="1">
        <f>Table2[[#This Row],[ERR (A)]]^2</f>
        <v>1.0125390624999993</v>
      </c>
      <c r="Y139" s="1">
        <f t="shared" si="17"/>
        <v>-1.2016823108727372</v>
      </c>
      <c r="Z139" s="1">
        <f>Table2[[#This Row],[ERR (B)]]^2</f>
        <v>1.4440403762644418</v>
      </c>
      <c r="AA139" s="18">
        <f>Table2[[#This Row],[Pace (H)]]-Table2[[#This Row],[Pace (A)]]</f>
        <v>5.4000000000000057</v>
      </c>
      <c r="AB139" s="19">
        <f>Table2[[#This Row],[Total EV]]-Table2[[#Totals],[Total EV]]</f>
        <v>5.9821003018820562</v>
      </c>
      <c r="AC139" s="19">
        <f>Table2[[#This Row],[Total EV]]-Table2[[#This Row],[Total (V)]]</f>
        <v>5.3538101133696827</v>
      </c>
      <c r="AD139" s="3">
        <f>Table2[[#This Row],[Margin (V)]]-Table2[[#This Row],[EV (A)]]</f>
        <v>-3.9937500000000004</v>
      </c>
      <c r="AE139" t="b">
        <f>IF(VLOOKUP(Table2[[#This Row],[Home Team]],division_lookup,2,FALSE)=VLOOKUP(Table2[[#This Row],[Away Team]],division_lookup,2,FALSE),TRUE, FALSE)</f>
        <v>0</v>
      </c>
    </row>
    <row r="140" spans="1:31" x14ac:dyDescent="0.25">
      <c r="A140">
        <v>10</v>
      </c>
      <c r="B140" t="s">
        <v>2</v>
      </c>
      <c r="C140" t="s">
        <v>17</v>
      </c>
      <c r="D140">
        <v>17</v>
      </c>
      <c r="E140">
        <v>20</v>
      </c>
      <c r="F140" s="6">
        <f>VLOOKUP(Table2[[#This Row],[Home Team]],home_lookup,3,FALSE)+VLOOKUP(Table2[[#This Row],[Home Team]],off_pts_lookup,7,FALSE)+VLOOKUP(Table2[[#This Row],[Away Team]],def_diff_lookup,14,FALSE)</f>
        <v>22.180811574940531</v>
      </c>
      <c r="G140" s="6">
        <f>VLOOKUP(Table2[[#This Row],[Away Team]],off_pts_lookup,7,FALSE)+VLOOKUP(Table2[[#This Row],[Home Team]],def_diff_lookup,14,FALSE)</f>
        <v>23.92774621212121</v>
      </c>
      <c r="H140" s="3">
        <f>VLOOKUP(Table2[[#This Row],[Home Team]],pace_lookup,5,FALSE)</f>
        <v>66.8</v>
      </c>
      <c r="I140" s="3">
        <f>VLOOKUP(Table2[[#This Row],[Away Team]],pace_lookup,5,FALSE)</f>
        <v>62.1</v>
      </c>
      <c r="J140" s="13">
        <f t="shared" si="18"/>
        <v>37</v>
      </c>
      <c r="K140">
        <v>44.5</v>
      </c>
      <c r="N140" s="33">
        <f>Table2[[#This Row],[Home EV]]+Table2[[#This Row],[Away EV]]</f>
        <v>46.108557787061741</v>
      </c>
      <c r="O140" s="13">
        <f t="shared" si="14"/>
        <v>3</v>
      </c>
      <c r="P140">
        <v>-3.5</v>
      </c>
      <c r="Q14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0" s="33">
        <v>1.04</v>
      </c>
      <c r="S140" s="33">
        <f t="shared" si="16"/>
        <v>0.39375000000000027</v>
      </c>
      <c r="T140" s="33"/>
      <c r="U140" s="33"/>
      <c r="V140" s="33">
        <f>-VLOOKUP(Table2[[#This Row],[Home Team]],home_lookup,3,FALSE)-VLOOKUP(B140,lookup,2,FALSE)+VLOOKUP(C140,lookup,2,FALSE)</f>
        <v>1.3469346371806776</v>
      </c>
      <c r="W140" s="1">
        <f t="shared" si="19"/>
        <v>2.6062499999999997</v>
      </c>
      <c r="X140" s="1">
        <f>Table2[[#This Row],[ERR (A)]]^2</f>
        <v>6.7925390624999986</v>
      </c>
      <c r="Y140" s="1">
        <f t="shared" si="17"/>
        <v>1.6530653628193224</v>
      </c>
      <c r="Z140" s="1">
        <f>Table2[[#This Row],[ERR (B)]]^2</f>
        <v>2.7326250937529779</v>
      </c>
      <c r="AA140" s="18">
        <f>Table2[[#This Row],[Pace (H)]]-Table2[[#This Row],[Pace (A)]]</f>
        <v>4.6999999999999957</v>
      </c>
      <c r="AB140" s="19">
        <f>Table2[[#This Row],[Total EV]]-Table2[[#Totals],[Total EV]]</f>
        <v>-2.7631520244258851</v>
      </c>
      <c r="AC140" s="19">
        <f>Table2[[#This Row],[Total EV]]-Table2[[#This Row],[Total (V)]]</f>
        <v>1.6085577870617414</v>
      </c>
      <c r="AD140" s="3">
        <f>Table2[[#This Row],[Margin (V)]]-Table2[[#This Row],[EV (A)]]</f>
        <v>-3.8937500000000003</v>
      </c>
      <c r="AE140" t="b">
        <f>IF(VLOOKUP(Table2[[#This Row],[Home Team]],division_lookup,2,FALSE)=VLOOKUP(Table2[[#This Row],[Away Team]],division_lookup,2,FALSE),TRUE, FALSE)</f>
        <v>0</v>
      </c>
    </row>
    <row r="141" spans="1:31" x14ac:dyDescent="0.25">
      <c r="A141">
        <v>10</v>
      </c>
      <c r="B141" t="s">
        <v>4</v>
      </c>
      <c r="C141" t="s">
        <v>9</v>
      </c>
      <c r="D141">
        <v>21</v>
      </c>
      <c r="E141">
        <v>24</v>
      </c>
      <c r="F141" s="6">
        <f>VLOOKUP(Table2[[#This Row],[Home Team]],home_lookup,3,FALSE)+VLOOKUP(Table2[[#This Row],[Home Team]],off_pts_lookup,7,FALSE)+VLOOKUP(Table2[[#This Row],[Away Team]],def_diff_lookup,14,FALSE)</f>
        <v>20.200040078837937</v>
      </c>
      <c r="G141" s="6">
        <f>VLOOKUP(Table2[[#This Row],[Away Team]],off_pts_lookup,7,FALSE)+VLOOKUP(Table2[[#This Row],[Home Team]],def_diff_lookup,14,FALSE)</f>
        <v>21.516635101010102</v>
      </c>
      <c r="H141" s="3">
        <f>VLOOKUP(Table2[[#This Row],[Home Team]],pace_lookup,5,FALSE)</f>
        <v>65.099999999999994</v>
      </c>
      <c r="I141" s="3">
        <f>VLOOKUP(Table2[[#This Row],[Away Team]],pace_lookup,5,FALSE)</f>
        <v>65.777777777777771</v>
      </c>
      <c r="J141" s="13">
        <f t="shared" si="18"/>
        <v>45</v>
      </c>
      <c r="K141">
        <v>43</v>
      </c>
      <c r="N141" s="33">
        <f>Table2[[#This Row],[Home EV]]+Table2[[#This Row],[Away EV]]</f>
        <v>41.716675179848039</v>
      </c>
      <c r="O141" s="13">
        <f t="shared" si="14"/>
        <v>3</v>
      </c>
      <c r="P141">
        <v>-2.5</v>
      </c>
      <c r="Q141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1" s="33">
        <v>1.54</v>
      </c>
      <c r="S141" s="33">
        <f t="shared" si="16"/>
        <v>2.0937499999999991</v>
      </c>
      <c r="T141" s="33"/>
      <c r="U141" s="33"/>
      <c r="V141" s="33">
        <f>-VLOOKUP(Table2[[#This Row],[Home Team]],home_lookup,3,FALSE)-VLOOKUP(B141,lookup,2,FALSE)+VLOOKUP(C141,lookup,2,FALSE)</f>
        <v>2.1165950221721532</v>
      </c>
      <c r="W141" s="1">
        <f t="shared" si="19"/>
        <v>0.90625000000000089</v>
      </c>
      <c r="X141" s="1">
        <f>Table2[[#This Row],[ERR (A)]]^2</f>
        <v>0.82128906250000155</v>
      </c>
      <c r="Y141" s="1">
        <f t="shared" si="17"/>
        <v>0.88340497782784677</v>
      </c>
      <c r="Z141" s="1">
        <f>Table2[[#This Row],[ERR (B)]]^2</f>
        <v>0.78040435485101844</v>
      </c>
      <c r="AA141" s="18">
        <f>Table2[[#This Row],[Pace (H)]]-Table2[[#This Row],[Pace (A)]]</f>
        <v>-0.67777777777777715</v>
      </c>
      <c r="AB141" s="19">
        <f>Table2[[#This Row],[Total EV]]-Table2[[#Totals],[Total EV]]</f>
        <v>-7.1550346316395874</v>
      </c>
      <c r="AC141" s="19">
        <f>Table2[[#This Row],[Total EV]]-Table2[[#This Row],[Total (V)]]</f>
        <v>-1.2833248201519609</v>
      </c>
      <c r="AD141" s="3">
        <f>Table2[[#This Row],[Margin (V)]]-Table2[[#This Row],[EV (A)]]</f>
        <v>-4.5937499999999991</v>
      </c>
      <c r="AE141" t="b">
        <f>IF(VLOOKUP(Table2[[#This Row],[Home Team]],division_lookup,2,FALSE)=VLOOKUP(Table2[[#This Row],[Away Team]],division_lookup,2,FALSE),TRUE, FALSE)</f>
        <v>1</v>
      </c>
    </row>
    <row r="142" spans="1:31" x14ac:dyDescent="0.25">
      <c r="A142">
        <v>10</v>
      </c>
      <c r="B142" t="s">
        <v>30</v>
      </c>
      <c r="C142" t="s">
        <v>11</v>
      </c>
      <c r="D142">
        <v>26</v>
      </c>
      <c r="E142">
        <v>20</v>
      </c>
      <c r="F142" s="6">
        <f>VLOOKUP(Table2[[#This Row],[Home Team]],home_lookup,3,FALSE)+VLOOKUP(Table2[[#This Row],[Home Team]],off_pts_lookup,7,FALSE)+VLOOKUP(Table2[[#This Row],[Away Team]],def_diff_lookup,14,FALSE)</f>
        <v>20.846488992114907</v>
      </c>
      <c r="G142" s="6">
        <f>VLOOKUP(Table2[[#This Row],[Away Team]],off_pts_lookup,7,FALSE)+VLOOKUP(Table2[[#This Row],[Home Team]],def_diff_lookup,14,FALSE)</f>
        <v>20.92774621212121</v>
      </c>
      <c r="H142" s="3">
        <f>VLOOKUP(Table2[[#This Row],[Home Team]],pace_lookup,5,FALSE)</f>
        <v>65.5</v>
      </c>
      <c r="I142" s="3">
        <f>VLOOKUP(Table2[[#This Row],[Away Team]],pace_lookup,5,FALSE)</f>
        <v>62.9</v>
      </c>
      <c r="J142" s="13">
        <f t="shared" si="18"/>
        <v>46</v>
      </c>
      <c r="K142">
        <v>42.5</v>
      </c>
      <c r="N142" s="33">
        <f>Table2[[#This Row],[Home EV]]+Table2[[#This Row],[Away EV]]</f>
        <v>41.77423520423612</v>
      </c>
      <c r="O142" s="13">
        <f t="shared" si="14"/>
        <v>-6</v>
      </c>
      <c r="P142">
        <v>-2</v>
      </c>
      <c r="Q142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42" s="33">
        <v>-0.26</v>
      </c>
      <c r="S142" s="33">
        <f t="shared" si="16"/>
        <v>-1.8062499999999999</v>
      </c>
      <c r="T142" s="33"/>
      <c r="U142" s="33"/>
      <c r="V142" s="33">
        <f>-VLOOKUP(Table2[[#This Row],[Home Team]],home_lookup,3,FALSE)-VLOOKUP(B142,lookup,2,FALSE)+VLOOKUP(C142,lookup,2,FALSE)</f>
        <v>0.38125722000630269</v>
      </c>
      <c r="W142" s="1">
        <f t="shared" si="19"/>
        <v>-4.1937499999999996</v>
      </c>
      <c r="X142" s="1">
        <f>Table2[[#This Row],[ERR (A)]]^2</f>
        <v>17.587539062499996</v>
      </c>
      <c r="Y142" s="1">
        <f t="shared" si="17"/>
        <v>-6.3812572200063027</v>
      </c>
      <c r="Z142" s="1">
        <f>Table2[[#This Row],[ERR (B)]]^2</f>
        <v>40.720443707882566</v>
      </c>
      <c r="AA142" s="18">
        <f>Table2[[#This Row],[Pace (H)]]-Table2[[#This Row],[Pace (A)]]</f>
        <v>2.6000000000000014</v>
      </c>
      <c r="AB142" s="19">
        <f>Table2[[#This Row],[Total EV]]-Table2[[#Totals],[Total EV]]</f>
        <v>-7.097474607251506</v>
      </c>
      <c r="AC142" s="19">
        <f>Table2[[#This Row],[Total EV]]-Table2[[#This Row],[Total (V)]]</f>
        <v>-0.72576479576387953</v>
      </c>
      <c r="AD142" s="3">
        <f>Table2[[#This Row],[Margin (V)]]-Table2[[#This Row],[EV (A)]]</f>
        <v>-0.19375000000000009</v>
      </c>
      <c r="AE142" t="b">
        <f>IF(VLOOKUP(Table2[[#This Row],[Home Team]],division_lookup,2,FALSE)=VLOOKUP(Table2[[#This Row],[Away Team]],division_lookup,2,FALSE),TRUE, FALSE)</f>
        <v>0</v>
      </c>
    </row>
    <row r="143" spans="1:31" x14ac:dyDescent="0.25">
      <c r="A143">
        <v>10</v>
      </c>
      <c r="B143" t="s">
        <v>19</v>
      </c>
      <c r="C143" t="s">
        <v>10</v>
      </c>
      <c r="D143">
        <v>36</v>
      </c>
      <c r="E143">
        <v>10</v>
      </c>
      <c r="F143" s="6">
        <f>VLOOKUP(Table2[[#This Row],[Home Team]],home_lookup,3,FALSE)+VLOOKUP(Table2[[#This Row],[Home Team]],off_pts_lookup,7,FALSE)+VLOOKUP(Table2[[#This Row],[Away Team]],def_diff_lookup,14,FALSE)</f>
        <v>23.802624307599956</v>
      </c>
      <c r="G143" s="6">
        <f>VLOOKUP(Table2[[#This Row],[Away Team]],off_pts_lookup,7,FALSE)+VLOOKUP(Table2[[#This Row],[Home Team]],def_diff_lookup,14,FALSE)</f>
        <v>18.727746212121211</v>
      </c>
      <c r="H143" s="3">
        <f>VLOOKUP(Table2[[#This Row],[Home Team]],pace_lookup,5,FALSE)</f>
        <v>69.900000000000006</v>
      </c>
      <c r="I143" s="3">
        <f>VLOOKUP(Table2[[#This Row],[Away Team]],pace_lookup,5,FALSE)</f>
        <v>59.3</v>
      </c>
      <c r="J143" s="13">
        <f t="shared" si="18"/>
        <v>46</v>
      </c>
      <c r="K143">
        <v>46</v>
      </c>
      <c r="N143" s="33">
        <f>Table2[[#This Row],[Home EV]]+Table2[[#This Row],[Away EV]]</f>
        <v>42.530370519721167</v>
      </c>
      <c r="O143" s="13">
        <f t="shared" si="14"/>
        <v>-26</v>
      </c>
      <c r="P143">
        <v>2</v>
      </c>
      <c r="Q14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3" s="33">
        <v>-2.2599999999999998</v>
      </c>
      <c r="S143" s="33">
        <f t="shared" si="16"/>
        <v>-8.2062500000000007</v>
      </c>
      <c r="T143" s="33"/>
      <c r="U143" s="33"/>
      <c r="V143" s="33">
        <f>-VLOOKUP(Table2[[#This Row],[Home Team]],home_lookup,3,FALSE)-VLOOKUP(B143,lookup,2,FALSE)+VLOOKUP(C143,lookup,2,FALSE)</f>
        <v>-4.7748780954787442</v>
      </c>
      <c r="W143" s="1">
        <f t="shared" si="19"/>
        <v>-17.793749999999999</v>
      </c>
      <c r="X143" s="1">
        <f>Table2[[#This Row],[ERR (A)]]^2</f>
        <v>316.61753906249999</v>
      </c>
      <c r="Y143" s="1">
        <f t="shared" si="17"/>
        <v>-21.225121904521256</v>
      </c>
      <c r="Z143" s="1">
        <f>Table2[[#This Row],[ERR (B)]]^2</f>
        <v>450.50579986178803</v>
      </c>
      <c r="AA143" s="18">
        <f>Table2[[#This Row],[Pace (H)]]-Table2[[#This Row],[Pace (A)]]</f>
        <v>10.600000000000009</v>
      </c>
      <c r="AB143" s="19">
        <f>Table2[[#This Row],[Total EV]]-Table2[[#Totals],[Total EV]]</f>
        <v>-6.3413392917664595</v>
      </c>
      <c r="AC143" s="19">
        <f>Table2[[#This Row],[Total EV]]-Table2[[#This Row],[Total (V)]]</f>
        <v>-3.469629480278833</v>
      </c>
      <c r="AD143" s="3">
        <f>Table2[[#This Row],[Margin (V)]]-Table2[[#This Row],[EV (A)]]</f>
        <v>10.206250000000001</v>
      </c>
      <c r="AE143" t="b">
        <f>IF(VLOOKUP(Table2[[#This Row],[Home Team]],division_lookup,2,FALSE)=VLOOKUP(Table2[[#This Row],[Away Team]],division_lookup,2,FALSE),TRUE, FALSE)</f>
        <v>0</v>
      </c>
    </row>
    <row r="144" spans="1:31" x14ac:dyDescent="0.25">
      <c r="A144">
        <v>10</v>
      </c>
      <c r="B144" t="s">
        <v>18</v>
      </c>
      <c r="C144" t="s">
        <v>22</v>
      </c>
      <c r="D144">
        <v>24</v>
      </c>
      <c r="E144">
        <v>31</v>
      </c>
      <c r="F144" s="6">
        <f>VLOOKUP(Table2[[#This Row],[Home Team]],home_lookup,3,FALSE)+VLOOKUP(Table2[[#This Row],[Home Team]],off_pts_lookup,7,FALSE)+VLOOKUP(Table2[[#This Row],[Away Team]],def_diff_lookup,14,FALSE)</f>
        <v>31.20964447209402</v>
      </c>
      <c r="G144" s="6">
        <f>VLOOKUP(Table2[[#This Row],[Away Team]],off_pts_lookup,7,FALSE)+VLOOKUP(Table2[[#This Row],[Home Team]],def_diff_lookup,14,FALSE)</f>
        <v>26.727746212121211</v>
      </c>
      <c r="H144" s="3">
        <f>VLOOKUP(Table2[[#This Row],[Home Team]],pace_lookup,5,FALSE)</f>
        <v>66.400000000000006</v>
      </c>
      <c r="I144" s="3">
        <f>VLOOKUP(Table2[[#This Row],[Away Team]],pace_lookup,5,FALSE)</f>
        <v>56.9</v>
      </c>
      <c r="J144" s="13">
        <f t="shared" si="18"/>
        <v>55</v>
      </c>
      <c r="K144">
        <v>49</v>
      </c>
      <c r="N144" s="33">
        <f>Table2[[#This Row],[Home EV]]+Table2[[#This Row],[Away EV]]</f>
        <v>57.937390684215231</v>
      </c>
      <c r="O144" s="13">
        <f t="shared" si="14"/>
        <v>7</v>
      </c>
      <c r="P144">
        <v>-5</v>
      </c>
      <c r="Q144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44" s="33">
        <v>-9.06</v>
      </c>
      <c r="S144" s="33">
        <f t="shared" si="16"/>
        <v>-5.40625</v>
      </c>
      <c r="T144" s="33"/>
      <c r="U144" s="33"/>
      <c r="V144" s="33">
        <f>-VLOOKUP(Table2[[#This Row],[Home Team]],home_lookup,3,FALSE)-VLOOKUP(B144,lookup,2,FALSE)+VLOOKUP(C144,lookup,2,FALSE)</f>
        <v>-5.7818982599728059</v>
      </c>
      <c r="W144" s="1">
        <f t="shared" si="19"/>
        <v>12.40625</v>
      </c>
      <c r="X144" s="1">
        <f>Table2[[#This Row],[ERR (A)]]^2</f>
        <v>153.9150390625</v>
      </c>
      <c r="Y144" s="1">
        <f t="shared" si="17"/>
        <v>12.781898259972806</v>
      </c>
      <c r="Z144" s="1">
        <f>Table2[[#This Row],[ERR (B)]]^2</f>
        <v>163.37692312829586</v>
      </c>
      <c r="AA144" s="18">
        <f>Table2[[#This Row],[Pace (H)]]-Table2[[#This Row],[Pace (A)]]</f>
        <v>9.5000000000000071</v>
      </c>
      <c r="AB144" s="19">
        <f>Table2[[#This Row],[Total EV]]-Table2[[#Totals],[Total EV]]</f>
        <v>9.0656808727276044</v>
      </c>
      <c r="AC144" s="19">
        <f>Table2[[#This Row],[Total EV]]-Table2[[#This Row],[Total (V)]]</f>
        <v>8.9373906842152309</v>
      </c>
      <c r="AD144" s="3">
        <f>Table2[[#This Row],[Margin (V)]]-Table2[[#This Row],[EV (A)]]</f>
        <v>0.40625</v>
      </c>
      <c r="AE144" t="b">
        <f>IF(VLOOKUP(Table2[[#This Row],[Home Team]],division_lookup,2,FALSE)=VLOOKUP(Table2[[#This Row],[Away Team]],division_lookup,2,FALSE),TRUE, FALSE)</f>
        <v>0</v>
      </c>
    </row>
    <row r="145" spans="1:31" x14ac:dyDescent="0.25">
      <c r="A145">
        <v>10</v>
      </c>
      <c r="B145" t="s">
        <v>29</v>
      </c>
      <c r="C145" t="s">
        <v>26</v>
      </c>
      <c r="D145">
        <v>30</v>
      </c>
      <c r="E145">
        <v>35</v>
      </c>
      <c r="F145" s="6">
        <f>VLOOKUP(Table2[[#This Row],[Home Team]],home_lookup,3,FALSE)+VLOOKUP(Table2[[#This Row],[Home Team]],off_pts_lookup,7,FALSE)+VLOOKUP(Table2[[#This Row],[Away Team]],def_diff_lookup,14,FALSE)</f>
        <v>27.109891187319466</v>
      </c>
      <c r="G145" s="6">
        <f>VLOOKUP(Table2[[#This Row],[Away Team]],off_pts_lookup,7,FALSE)+VLOOKUP(Table2[[#This Row],[Home Team]],def_diff_lookup,14,FALSE)</f>
        <v>27.12774621212121</v>
      </c>
      <c r="H145" s="3">
        <f>VLOOKUP(Table2[[#This Row],[Home Team]],pace_lookup,5,FALSE)</f>
        <v>64.400000000000006</v>
      </c>
      <c r="I145" s="3">
        <f>VLOOKUP(Table2[[#This Row],[Away Team]],pace_lookup,5,FALSE)</f>
        <v>66.5</v>
      </c>
      <c r="J145" s="13">
        <f t="shared" si="18"/>
        <v>65</v>
      </c>
      <c r="K145">
        <v>50.5</v>
      </c>
      <c r="N145" s="33">
        <f>Table2[[#This Row],[Home EV]]+Table2[[#This Row],[Away EV]]</f>
        <v>54.237637399440672</v>
      </c>
      <c r="O145" s="13">
        <f t="shared" si="14"/>
        <v>5</v>
      </c>
      <c r="P145">
        <v>-3</v>
      </c>
      <c r="Q14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5" s="33">
        <v>1.94</v>
      </c>
      <c r="S145" s="33">
        <f t="shared" si="16"/>
        <v>2.09375</v>
      </c>
      <c r="T145" s="33"/>
      <c r="U145" s="33"/>
      <c r="V145" s="33">
        <f>-VLOOKUP(Table2[[#This Row],[Home Team]],home_lookup,3,FALSE)-VLOOKUP(B145,lookup,2,FALSE)+VLOOKUP(C145,lookup,2,FALSE)</f>
        <v>-2.4821449751982563</v>
      </c>
      <c r="W145" s="1">
        <f t="shared" si="19"/>
        <v>2.90625</v>
      </c>
      <c r="X145" s="1">
        <f>Table2[[#This Row],[ERR (A)]]^2</f>
        <v>8.4462890625</v>
      </c>
      <c r="Y145" s="1">
        <f t="shared" si="17"/>
        <v>7.4821449751982563</v>
      </c>
      <c r="Z145" s="1">
        <f>Table2[[#This Row],[ERR (B)]]^2</f>
        <v>55.982493429884514</v>
      </c>
      <c r="AA145" s="18">
        <f>Table2[[#This Row],[Pace (H)]]-Table2[[#This Row],[Pace (A)]]</f>
        <v>-2.0999999999999943</v>
      </c>
      <c r="AB145" s="19">
        <f>Table2[[#This Row],[Total EV]]-Table2[[#Totals],[Total EV]]</f>
        <v>5.3659275879530455</v>
      </c>
      <c r="AC145" s="19">
        <f>Table2[[#This Row],[Total EV]]-Table2[[#This Row],[Total (V)]]</f>
        <v>3.737637399440672</v>
      </c>
      <c r="AD145" s="3">
        <f>Table2[[#This Row],[Margin (V)]]-Table2[[#This Row],[EV (A)]]</f>
        <v>-5.09375</v>
      </c>
      <c r="AE145" t="b">
        <f>IF(VLOOKUP(Table2[[#This Row],[Home Team]],division_lookup,2,FALSE)=VLOOKUP(Table2[[#This Row],[Away Team]],division_lookup,2,FALSE),TRUE, FALSE)</f>
        <v>0</v>
      </c>
    </row>
    <row r="146" spans="1:31" x14ac:dyDescent="0.25">
      <c r="A146">
        <v>10</v>
      </c>
      <c r="B146" t="s">
        <v>28</v>
      </c>
      <c r="C146" t="s">
        <v>31</v>
      </c>
      <c r="D146">
        <v>23</v>
      </c>
      <c r="E146">
        <v>20</v>
      </c>
      <c r="F146" s="6">
        <f>VLOOKUP(Table2[[#This Row],[Home Team]],home_lookup,3,FALSE)+VLOOKUP(Table2[[#This Row],[Home Team]],off_pts_lookup,7,FALSE)+VLOOKUP(Table2[[#This Row],[Away Team]],def_diff_lookup,14,FALSE)</f>
        <v>36.482451190521772</v>
      </c>
      <c r="G146" s="6">
        <f>VLOOKUP(Table2[[#This Row],[Away Team]],off_pts_lookup,7,FALSE)+VLOOKUP(Table2[[#This Row],[Home Team]],def_diff_lookup,14,FALSE)</f>
        <v>16.527746212121212</v>
      </c>
      <c r="H146" s="3">
        <f>VLOOKUP(Table2[[#This Row],[Home Team]],pace_lookup,5,FALSE)</f>
        <v>71</v>
      </c>
      <c r="I146" s="3">
        <f>VLOOKUP(Table2[[#This Row],[Away Team]],pace_lookup,5,FALSE)</f>
        <v>63</v>
      </c>
      <c r="J146" s="13">
        <f t="shared" si="18"/>
        <v>43</v>
      </c>
      <c r="K146">
        <v>49</v>
      </c>
      <c r="N146" s="33">
        <f>Table2[[#This Row],[Home EV]]+Table2[[#This Row],[Away EV]]</f>
        <v>53.010197402642987</v>
      </c>
      <c r="O146" s="13">
        <f t="shared" si="14"/>
        <v>-3</v>
      </c>
      <c r="P146">
        <v>-14</v>
      </c>
      <c r="Q146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46" s="33">
        <v>-17.16</v>
      </c>
      <c r="S146" s="33">
        <f t="shared" si="16"/>
        <v>-14.40625</v>
      </c>
      <c r="T146" s="33"/>
      <c r="U146" s="33"/>
      <c r="V146" s="33">
        <f>-VLOOKUP(Table2[[#This Row],[Home Team]],home_lookup,3,FALSE)-VLOOKUP(B146,lookup,2,FALSE)+VLOOKUP(C146,lookup,2,FALSE)</f>
        <v>-16.954704978400564</v>
      </c>
      <c r="W146" s="1">
        <f t="shared" si="19"/>
        <v>11.40625</v>
      </c>
      <c r="X146" s="1">
        <f>Table2[[#This Row],[ERR (A)]]^2</f>
        <v>130.1025390625</v>
      </c>
      <c r="Y146" s="1">
        <f t="shared" si="17"/>
        <v>13.954704978400564</v>
      </c>
      <c r="Z146" s="1">
        <f>Table2[[#This Row],[ERR (B)]]^2</f>
        <v>194.73379103419748</v>
      </c>
      <c r="AA146" s="18">
        <f>Table2[[#This Row],[Pace (H)]]-Table2[[#This Row],[Pace (A)]]</f>
        <v>8</v>
      </c>
      <c r="AB146" s="19">
        <f>Table2[[#This Row],[Total EV]]-Table2[[#Totals],[Total EV]]</f>
        <v>4.1384875911553607</v>
      </c>
      <c r="AC146" s="19">
        <f>Table2[[#This Row],[Total EV]]-Table2[[#This Row],[Total (V)]]</f>
        <v>4.0101974026429872</v>
      </c>
      <c r="AD146" s="3">
        <f>Table2[[#This Row],[Margin (V)]]-Table2[[#This Row],[EV (A)]]</f>
        <v>0.40625</v>
      </c>
      <c r="AE146" t="b">
        <f>IF(VLOOKUP(Table2[[#This Row],[Home Team]],division_lookup,2,FALSE)=VLOOKUP(Table2[[#This Row],[Away Team]],division_lookup,2,FALSE),TRUE, FALSE)</f>
        <v>1</v>
      </c>
    </row>
    <row r="147" spans="1:31" x14ac:dyDescent="0.25">
      <c r="A147">
        <v>10</v>
      </c>
      <c r="B147" t="s">
        <v>27</v>
      </c>
      <c r="C147" t="s">
        <v>21</v>
      </c>
      <c r="D147">
        <v>24</v>
      </c>
      <c r="E147">
        <v>31</v>
      </c>
      <c r="F147" s="6">
        <f>VLOOKUP(Table2[[#This Row],[Home Team]],home_lookup,3,FALSE)+VLOOKUP(Table2[[#This Row],[Home Team]],off_pts_lookup,7,FALSE)+VLOOKUP(Table2[[#This Row],[Away Team]],def_diff_lookup,14,FALSE)</f>
        <v>17.928349840877139</v>
      </c>
      <c r="G147" s="6">
        <f>VLOOKUP(Table2[[#This Row],[Away Team]],off_pts_lookup,7,FALSE)+VLOOKUP(Table2[[#This Row],[Home Team]],def_diff_lookup,14,FALSE)</f>
        <v>17.027746212121212</v>
      </c>
      <c r="H147" s="3">
        <f>VLOOKUP(Table2[[#This Row],[Home Team]],pace_lookup,5,FALSE)</f>
        <v>63.9</v>
      </c>
      <c r="I147" s="3">
        <f>VLOOKUP(Table2[[#This Row],[Away Team]],pace_lookup,5,FALSE)</f>
        <v>61.1</v>
      </c>
      <c r="J147" s="13">
        <f t="shared" si="18"/>
        <v>55</v>
      </c>
      <c r="K147">
        <v>49</v>
      </c>
      <c r="N147" s="33">
        <f>Table2[[#This Row],[Home EV]]+Table2[[#This Row],[Away EV]]</f>
        <v>34.956096052998348</v>
      </c>
      <c r="O147" s="13">
        <f t="shared" si="14"/>
        <v>7</v>
      </c>
      <c r="P147">
        <v>-7.5</v>
      </c>
      <c r="Q147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47" s="33">
        <v>-11.06</v>
      </c>
      <c r="S147" s="33">
        <f t="shared" si="16"/>
        <v>-7.1062500000000011</v>
      </c>
      <c r="T147" s="33"/>
      <c r="U147" s="33"/>
      <c r="V147" s="33">
        <f>-VLOOKUP(Table2[[#This Row],[Home Team]],home_lookup,3,FALSE)-VLOOKUP(B147,lookup,2,FALSE)+VLOOKUP(C147,lookup,2,FALSE)</f>
        <v>-2.1006036287559304</v>
      </c>
      <c r="W147" s="1">
        <f t="shared" si="19"/>
        <v>14.106250000000001</v>
      </c>
      <c r="X147" s="1">
        <f>Table2[[#This Row],[ERR (A)]]^2</f>
        <v>198.98628906250002</v>
      </c>
      <c r="Y147" s="1">
        <f t="shared" si="17"/>
        <v>9.1006036287559304</v>
      </c>
      <c r="Z147" s="1">
        <f>Table2[[#This Row],[ERR (B)]]^2</f>
        <v>82.820986407725613</v>
      </c>
      <c r="AA147" s="18">
        <f>Table2[[#This Row],[Pace (H)]]-Table2[[#This Row],[Pace (A)]]</f>
        <v>2.7999999999999972</v>
      </c>
      <c r="AB147" s="19">
        <f>Table2[[#This Row],[Total EV]]-Table2[[#Totals],[Total EV]]</f>
        <v>-13.915613758489279</v>
      </c>
      <c r="AC147" s="19">
        <f>Table2[[#This Row],[Total EV]]-Table2[[#This Row],[Total (V)]]</f>
        <v>-14.043903947001652</v>
      </c>
      <c r="AD147" s="3">
        <f>Table2[[#This Row],[Margin (V)]]-Table2[[#This Row],[EV (A)]]</f>
        <v>-0.39374999999999893</v>
      </c>
      <c r="AE147" t="b">
        <f>IF(VLOOKUP(Table2[[#This Row],[Home Team]],division_lookup,2,FALSE)=VLOOKUP(Table2[[#This Row],[Away Team]],division_lookup,2,FALSE),TRUE, FALSE)</f>
        <v>0</v>
      </c>
    </row>
    <row r="148" spans="1:31" ht="15.75" thickBot="1" x14ac:dyDescent="0.3">
      <c r="A148" s="9">
        <v>10</v>
      </c>
      <c r="B148" s="9" t="s">
        <v>25</v>
      </c>
      <c r="C148" s="9" t="s">
        <v>7</v>
      </c>
      <c r="D148" s="9">
        <v>21</v>
      </c>
      <c r="E148" s="9">
        <v>20</v>
      </c>
      <c r="F148" s="30">
        <f>VLOOKUP(Table2[[#This Row],[Home Team]],home_lookup,3,FALSE)+VLOOKUP(Table2[[#This Row],[Home Team]],off_pts_lookup,7,FALSE)+VLOOKUP(Table2[[#This Row],[Away Team]],def_diff_lookup,14,FALSE)</f>
        <v>23.270875024346321</v>
      </c>
      <c r="G148" s="30">
        <f>VLOOKUP(Table2[[#This Row],[Away Team]],off_pts_lookup,7,FALSE)+VLOOKUP(Table2[[#This Row],[Home Team]],def_diff_lookup,14,FALSE)</f>
        <v>17.027746212121212</v>
      </c>
      <c r="H148" s="15">
        <f>VLOOKUP(Table2[[#This Row],[Home Team]],pace_lookup,5,FALSE)</f>
        <v>62.6</v>
      </c>
      <c r="I148" s="15">
        <f>VLOOKUP(Table2[[#This Row],[Away Team]],pace_lookup,5,FALSE)</f>
        <v>65.900000000000006</v>
      </c>
      <c r="J148" s="14">
        <f t="shared" si="18"/>
        <v>41</v>
      </c>
      <c r="K148" s="9">
        <v>47.5</v>
      </c>
      <c r="L148" s="9"/>
      <c r="M148" s="9"/>
      <c r="N148" s="34">
        <f>Table2[[#This Row],[Home EV]]+Table2[[#This Row],[Away EV]]</f>
        <v>40.298621236467532</v>
      </c>
      <c r="O148" s="14">
        <f t="shared" si="14"/>
        <v>-1</v>
      </c>
      <c r="P148" s="9">
        <v>1</v>
      </c>
      <c r="Q148" s="9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8" s="34">
        <v>-5.9</v>
      </c>
      <c r="S148" s="34">
        <f t="shared" si="16"/>
        <v>-4.8062500000000004</v>
      </c>
      <c r="T148" s="34"/>
      <c r="U148" s="34"/>
      <c r="V148" s="34">
        <f>-VLOOKUP(Table2[[#This Row],[Home Team]],home_lookup,3,FALSE)-VLOOKUP(B148,lookup,2,FALSE)+VLOOKUP(C148,lookup,2,FALSE)</f>
        <v>-5.0431288122251079</v>
      </c>
      <c r="W148" s="16">
        <f t="shared" si="19"/>
        <v>3.8062500000000004</v>
      </c>
      <c r="X148" s="16">
        <f>Table2[[#This Row],[ERR (A)]]^2</f>
        <v>14.487539062500003</v>
      </c>
      <c r="Y148" s="16">
        <f t="shared" si="17"/>
        <v>4.0431288122251079</v>
      </c>
      <c r="Z148" s="16">
        <f>Table2[[#This Row],[ERR (B)]]^2</f>
        <v>16.346890592244812</v>
      </c>
      <c r="AA148" s="24">
        <f>Table2[[#This Row],[Pace (H)]]-Table2[[#This Row],[Pace (A)]]</f>
        <v>-3.3000000000000043</v>
      </c>
      <c r="AB148" s="15">
        <f>Table2[[#This Row],[Total EV]]-Table2[[#Totals],[Total EV]]</f>
        <v>-8.573088575020094</v>
      </c>
      <c r="AC148" s="15">
        <f>Table2[[#This Row],[Total EV]]-Table2[[#This Row],[Total (V)]]</f>
        <v>-7.2013787635324675</v>
      </c>
      <c r="AD148" s="15">
        <f>Table2[[#This Row],[Margin (V)]]-Table2[[#This Row],[EV (A)]]</f>
        <v>5.8062500000000004</v>
      </c>
      <c r="AE148" s="9" t="b">
        <f>IF(VLOOKUP(Table2[[#This Row],[Home Team]],division_lookup,2,FALSE)=VLOOKUP(Table2[[#This Row],[Away Team]],division_lookup,2,FALSE),TRUE, FALSE)</f>
        <v>0</v>
      </c>
    </row>
    <row r="149" spans="1:31" x14ac:dyDescent="0.25">
      <c r="A149" s="20">
        <v>11</v>
      </c>
      <c r="B149" s="20" t="s">
        <v>2</v>
      </c>
      <c r="C149" s="20" t="s">
        <v>16</v>
      </c>
      <c r="D149" s="20">
        <v>23</v>
      </c>
      <c r="E149" s="20">
        <v>20</v>
      </c>
      <c r="F149" s="31">
        <f>VLOOKUP(Table2[[#This Row],[Home Team]],home_lookup,3,FALSE)+VLOOKUP(Table2[[#This Row],[Home Team]],off_pts_lookup,7,FALSE)+VLOOKUP(Table2[[#This Row],[Away Team]],def_diff_lookup,14,FALSE)</f>
        <v>32.080811574940533</v>
      </c>
      <c r="G149" s="31">
        <f>VLOOKUP(Table2[[#This Row],[Away Team]],off_pts_lookup,7,FALSE)+VLOOKUP(Table2[[#This Row],[Home Team]],def_diff_lookup,14,FALSE)</f>
        <v>30.227746212121211</v>
      </c>
      <c r="H149" s="22">
        <f>VLOOKUP(Table2[[#This Row],[Home Team]],pace_lookup,5,FALSE)</f>
        <v>66.8</v>
      </c>
      <c r="I149" s="22">
        <f>VLOOKUP(Table2[[#This Row],[Away Team]],pace_lookup,5,FALSE)</f>
        <v>69.400000000000006</v>
      </c>
      <c r="J149" s="21">
        <f t="shared" si="18"/>
        <v>43</v>
      </c>
      <c r="K149" s="20">
        <v>52.5</v>
      </c>
      <c r="L149" s="20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49" s="20">
        <v>73</v>
      </c>
      <c r="N149" s="35">
        <f>Table2[[#This Row],[Home EV]]+Table2[[#This Row],[Away EV]]</f>
        <v>62.308557787061744</v>
      </c>
      <c r="O149" s="21">
        <f t="shared" si="14"/>
        <v>-3</v>
      </c>
      <c r="P149" s="20">
        <v>-3.5</v>
      </c>
      <c r="Q149" s="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49" s="35">
        <v>-0.76</v>
      </c>
      <c r="S149" s="35">
        <f t="shared" ref="S149:S162" si="20">-home-VLOOKUP(B149,lookup,2,FALSE)+VLOOKUP(C149,lookup,2,FALSE)</f>
        <v>-1.2062499999999998</v>
      </c>
      <c r="T149" s="31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49" s="35">
        <v>0.53</v>
      </c>
      <c r="V149" s="35">
        <f>-VLOOKUP(Table2[[#This Row],[Home Team]],home_lookup,3,FALSE)-VLOOKUP(B149,lookup,2,FALSE)+VLOOKUP(C149,lookup,2,FALSE)</f>
        <v>-0.25306536281932246</v>
      </c>
      <c r="W149" s="20"/>
      <c r="X149" s="20"/>
      <c r="Y149" s="22">
        <f t="shared" si="17"/>
        <v>-2.7469346371806775</v>
      </c>
      <c r="Z149" s="23">
        <f>Table2[[#This Row],[ERR (B)]]^2</f>
        <v>7.5456499009429407</v>
      </c>
      <c r="AA149" s="18">
        <f>Table2[[#This Row],[Pace (H)]]-Table2[[#This Row],[Pace (A)]]</f>
        <v>-2.6000000000000085</v>
      </c>
      <c r="AB149" s="19">
        <f>Table2[[#This Row],[Total EV]]-Table2[[#Totals],[Total EV]]</f>
        <v>13.436847975574118</v>
      </c>
      <c r="AC149" s="19">
        <f>Table2[[#This Row],[Total EV]]-Table2[[#This Row],[Total (V)]]</f>
        <v>9.8085577870617442</v>
      </c>
      <c r="AD149" s="3">
        <f>Table2[[#This Row],[Margin (V)]]-Table2[[#This Row],[EV (A)]]</f>
        <v>-2.2937500000000002</v>
      </c>
      <c r="AE149" t="b">
        <f>IF(VLOOKUP(Table2[[#This Row],[Home Team]],division_lookup,2,FALSE)=VLOOKUP(Table2[[#This Row],[Away Team]],division_lookup,2,FALSE),TRUE, FALSE)</f>
        <v>1</v>
      </c>
    </row>
    <row r="150" spans="1:31" x14ac:dyDescent="0.25">
      <c r="A150" s="25">
        <v>11</v>
      </c>
      <c r="B150" s="25" t="s">
        <v>7</v>
      </c>
      <c r="C150" s="25" t="s">
        <v>6</v>
      </c>
      <c r="D150" s="25">
        <v>12</v>
      </c>
      <c r="E150" s="25">
        <v>16</v>
      </c>
      <c r="F150" s="32">
        <f>VLOOKUP(Table2[[#This Row],[Home Team]],home_lookup,3,FALSE)+VLOOKUP(Table2[[#This Row],[Home Team]],off_pts_lookup,7,FALSE)+VLOOKUP(Table2[[#This Row],[Away Team]],def_diff_lookup,14,FALSE)</f>
        <v>22.857546053561318</v>
      </c>
      <c r="G150" s="32">
        <f>VLOOKUP(Table2[[#This Row],[Away Team]],off_pts_lookup,7,FALSE)+VLOOKUP(Table2[[#This Row],[Home Team]],def_diff_lookup,14,FALSE)</f>
        <v>25.027746212121212</v>
      </c>
      <c r="H150" s="26">
        <f>VLOOKUP(Table2[[#This Row],[Home Team]],pace_lookup,5,FALSE)</f>
        <v>65.900000000000006</v>
      </c>
      <c r="I150" s="26">
        <f>VLOOKUP(Table2[[#This Row],[Away Team]],pace_lookup,5,FALSE)</f>
        <v>62.5</v>
      </c>
      <c r="J150" s="27">
        <f t="shared" si="18"/>
        <v>28</v>
      </c>
      <c r="K150" s="25">
        <v>47</v>
      </c>
      <c r="L150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0" s="25">
        <v>51</v>
      </c>
      <c r="N150" s="36">
        <f>Table2[[#This Row],[Home EV]]+Table2[[#This Row],[Away EV]]</f>
        <v>47.88529226568253</v>
      </c>
      <c r="O150" s="27">
        <f t="shared" si="14"/>
        <v>4</v>
      </c>
      <c r="P150" s="25">
        <v>-2.5</v>
      </c>
      <c r="Q150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50" s="36">
        <v>2.74</v>
      </c>
      <c r="S150" s="36">
        <f t="shared" si="20"/>
        <v>2.7937499999999997</v>
      </c>
      <c r="T150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50" s="36">
        <v>1.37</v>
      </c>
      <c r="V150" s="36">
        <f>-VLOOKUP(Table2[[#This Row],[Home Team]],home_lookup,3,FALSE)-VLOOKUP(B150,lookup,2,FALSE)+VLOOKUP(C150,lookup,2,FALSE)</f>
        <v>1.3702001585598924</v>
      </c>
      <c r="Y150" s="3">
        <f t="shared" si="17"/>
        <v>2.6297998414401076</v>
      </c>
      <c r="Z150" s="1">
        <f>Table2[[#This Row],[ERR (B)]]^2</f>
        <v>6.9158472060384151</v>
      </c>
      <c r="AA150" s="18">
        <f>Table2[[#This Row],[Pace (H)]]-Table2[[#This Row],[Pace (A)]]</f>
        <v>3.4000000000000057</v>
      </c>
      <c r="AB150" s="19">
        <f>Table2[[#This Row],[Total EV]]-Table2[[#Totals],[Total EV]]</f>
        <v>-0.98641754580509655</v>
      </c>
      <c r="AC150" s="19">
        <f>Table2[[#This Row],[Total EV]]-Table2[[#This Row],[Total (V)]]</f>
        <v>0.88529226568252994</v>
      </c>
      <c r="AD150" s="3">
        <f>Table2[[#This Row],[Margin (V)]]-Table2[[#This Row],[EV (A)]]</f>
        <v>-5.2937499999999993</v>
      </c>
      <c r="AE150" t="b">
        <f>IF(VLOOKUP(Table2[[#This Row],[Home Team]],division_lookup,2,FALSE)=VLOOKUP(Table2[[#This Row],[Away Team]],division_lookup,2,FALSE),TRUE, FALSE)</f>
        <v>0</v>
      </c>
    </row>
    <row r="151" spans="1:31" x14ac:dyDescent="0.25">
      <c r="A151" s="20">
        <v>11</v>
      </c>
      <c r="B151" s="20" t="s">
        <v>26</v>
      </c>
      <c r="C151" s="20" t="s">
        <v>5</v>
      </c>
      <c r="D151" s="20">
        <v>27</v>
      </c>
      <c r="E151" s="20">
        <v>17</v>
      </c>
      <c r="F151" s="31">
        <f>VLOOKUP(Table2[[#This Row],[Home Team]],home_lookup,3,FALSE)+VLOOKUP(Table2[[#This Row],[Home Team]],off_pts_lookup,7,FALSE)+VLOOKUP(Table2[[#This Row],[Away Team]],def_diff_lookup,14,FALSE)</f>
        <v>24.436507972904359</v>
      </c>
      <c r="G151" s="31">
        <f>VLOOKUP(Table2[[#This Row],[Away Team]],off_pts_lookup,7,FALSE)+VLOOKUP(Table2[[#This Row],[Home Team]],def_diff_lookup,14,FALSE)</f>
        <v>15.727746212121211</v>
      </c>
      <c r="H151" s="22">
        <f>VLOOKUP(Table2[[#This Row],[Home Team]],pace_lookup,5,FALSE)</f>
        <v>66.5</v>
      </c>
      <c r="I151" s="22">
        <f>VLOOKUP(Table2[[#This Row],[Away Team]],pace_lookup,5,FALSE)</f>
        <v>67.400000000000006</v>
      </c>
      <c r="J151" s="21">
        <f t="shared" si="18"/>
        <v>44</v>
      </c>
      <c r="K151" s="20">
        <v>45</v>
      </c>
      <c r="L151" s="20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51" s="20">
        <v>39</v>
      </c>
      <c r="N151" s="35">
        <f>Table2[[#This Row],[Home EV]]+Table2[[#This Row],[Away EV]]</f>
        <v>40.16425418502557</v>
      </c>
      <c r="O151" s="21">
        <f t="shared" si="14"/>
        <v>-10</v>
      </c>
      <c r="P151" s="20">
        <v>-7.5</v>
      </c>
      <c r="Q151" s="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51" s="35">
        <v>-11.26</v>
      </c>
      <c r="S151" s="35">
        <f t="shared" si="20"/>
        <v>-11.206250000000001</v>
      </c>
      <c r="T151" s="31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51" s="35">
        <v>-8.41</v>
      </c>
      <c r="V151" s="35">
        <f>-VLOOKUP(Table2[[#This Row],[Home Team]],home_lookup,3,FALSE)-VLOOKUP(B151,lookup,2,FALSE)+VLOOKUP(C151,lookup,2,FALSE)</f>
        <v>-8.4087617607831451</v>
      </c>
      <c r="Y151" s="3">
        <f t="shared" si="17"/>
        <v>-1.5912382392168549</v>
      </c>
      <c r="Z151" s="1">
        <f>Table2[[#This Row],[ERR (B)]]^2</f>
        <v>2.5320391339459567</v>
      </c>
      <c r="AA151" s="18">
        <f>Table2[[#This Row],[Pace (H)]]-Table2[[#This Row],[Pace (A)]]</f>
        <v>-0.90000000000000568</v>
      </c>
      <c r="AB151" s="19">
        <f>Table2[[#This Row],[Total EV]]-Table2[[#Totals],[Total EV]]</f>
        <v>-8.7074556264620568</v>
      </c>
      <c r="AC151" s="19">
        <f>Table2[[#This Row],[Total EV]]-Table2[[#This Row],[Total (V)]]</f>
        <v>-4.8357458149744303</v>
      </c>
      <c r="AD151" s="3">
        <f>Table2[[#This Row],[Margin (V)]]-Table2[[#This Row],[EV (A)]]</f>
        <v>3.7062500000000007</v>
      </c>
      <c r="AE151" t="b">
        <f>IF(VLOOKUP(Table2[[#This Row],[Home Team]],division_lookup,2,FALSE)=VLOOKUP(Table2[[#This Row],[Away Team]],division_lookup,2,FALSE),TRUE, FALSE)</f>
        <v>0</v>
      </c>
    </row>
    <row r="152" spans="1:31" x14ac:dyDescent="0.25">
      <c r="A152" s="25">
        <v>11</v>
      </c>
      <c r="B152" s="25" t="s">
        <v>14</v>
      </c>
      <c r="C152" s="25" t="s">
        <v>29</v>
      </c>
      <c r="D152" s="25">
        <v>9</v>
      </c>
      <c r="E152" s="25">
        <v>24</v>
      </c>
      <c r="F152" s="32">
        <f>VLOOKUP(Table2[[#This Row],[Home Team]],home_lookup,3,FALSE)+VLOOKUP(Table2[[#This Row],[Home Team]],off_pts_lookup,7,FALSE)+VLOOKUP(Table2[[#This Row],[Away Team]],def_diff_lookup,14,FALSE)</f>
        <v>15.214356909282234</v>
      </c>
      <c r="G152" s="32">
        <f>VLOOKUP(Table2[[#This Row],[Away Team]],off_pts_lookup,7,FALSE)+VLOOKUP(Table2[[#This Row],[Home Team]],def_diff_lookup,14,FALSE)</f>
        <v>30.473200757575754</v>
      </c>
      <c r="H152" s="26">
        <f>VLOOKUP(Table2[[#This Row],[Home Team]],pace_lookup,5,FALSE)</f>
        <v>60.090909090909093</v>
      </c>
      <c r="I152" s="26">
        <f>VLOOKUP(Table2[[#This Row],[Away Team]],pace_lookup,5,FALSE)</f>
        <v>64.400000000000006</v>
      </c>
      <c r="J152" s="27">
        <f t="shared" si="18"/>
        <v>33</v>
      </c>
      <c r="K152" s="25">
        <v>44</v>
      </c>
      <c r="L152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2" s="25">
        <v>48</v>
      </c>
      <c r="N152" s="36">
        <f>Table2[[#This Row],[Home EV]]+Table2[[#This Row],[Away EV]]</f>
        <v>45.687557666857984</v>
      </c>
      <c r="O152" s="27">
        <f t="shared" si="14"/>
        <v>15</v>
      </c>
      <c r="P152" s="25">
        <v>8</v>
      </c>
      <c r="Q152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52" s="36">
        <v>10.44</v>
      </c>
      <c r="S152" s="36">
        <f t="shared" si="20"/>
        <v>10.49375</v>
      </c>
      <c r="T152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52" s="36">
        <v>13.54</v>
      </c>
      <c r="V152" s="36">
        <f>-VLOOKUP(Table2[[#This Row],[Home Team]],home_lookup,3,FALSE)-VLOOKUP(B152,lookup,2,FALSE)+VLOOKUP(C152,lookup,2,FALSE)</f>
        <v>13.540662030111701</v>
      </c>
      <c r="Y152" s="3">
        <f t="shared" si="17"/>
        <v>1.4593379698882991</v>
      </c>
      <c r="Z152" s="1">
        <f>Table2[[#This Row],[ERR (B)]]^2</f>
        <v>2.1296673103577022</v>
      </c>
      <c r="AA152" s="18">
        <f>Table2[[#This Row],[Pace (H)]]-Table2[[#This Row],[Pace (A)]]</f>
        <v>-4.3090909090909122</v>
      </c>
      <c r="AB152" s="19">
        <f>Table2[[#This Row],[Total EV]]-Table2[[#Totals],[Total EV]]</f>
        <v>-3.1841521446296426</v>
      </c>
      <c r="AC152" s="19">
        <f>Table2[[#This Row],[Total EV]]-Table2[[#This Row],[Total (V)]]</f>
        <v>1.6875576668579839</v>
      </c>
      <c r="AD152" s="3">
        <f>Table2[[#This Row],[Margin (V)]]-Table2[[#This Row],[EV (A)]]</f>
        <v>-2.4937500000000004</v>
      </c>
      <c r="AE152" t="b">
        <f>IF(VLOOKUP(Table2[[#This Row],[Home Team]],division_lookup,2,FALSE)=VLOOKUP(Table2[[#This Row],[Away Team]],division_lookup,2,FALSE),TRUE, FALSE)</f>
        <v>1</v>
      </c>
    </row>
    <row r="153" spans="1:31" x14ac:dyDescent="0.25">
      <c r="A153" s="20">
        <v>11</v>
      </c>
      <c r="B153" s="20" t="s">
        <v>24</v>
      </c>
      <c r="C153" s="20" t="s">
        <v>12</v>
      </c>
      <c r="D153" s="20">
        <v>24</v>
      </c>
      <c r="E153" s="20">
        <v>17</v>
      </c>
      <c r="F153" s="31">
        <f>VLOOKUP(Table2[[#This Row],[Home Team]],home_lookup,3,FALSE)+VLOOKUP(Table2[[#This Row],[Home Team]],off_pts_lookup,7,FALSE)+VLOOKUP(Table2[[#This Row],[Away Team]],def_diff_lookup,14,FALSE)</f>
        <v>28.139095567205096</v>
      </c>
      <c r="G153" s="31">
        <f>VLOOKUP(Table2[[#This Row],[Away Team]],off_pts_lookup,7,FALSE)+VLOOKUP(Table2[[#This Row],[Home Team]],def_diff_lookup,14,FALSE)</f>
        <v>29.97320075757575</v>
      </c>
      <c r="H153" s="22">
        <f>VLOOKUP(Table2[[#This Row],[Home Team]],pace_lookup,5,FALSE)</f>
        <v>65.5</v>
      </c>
      <c r="I153" s="22">
        <f>VLOOKUP(Table2[[#This Row],[Away Team]],pace_lookup,5,FALSE)</f>
        <v>63.909090909090907</v>
      </c>
      <c r="J153" s="21">
        <f t="shared" si="18"/>
        <v>41</v>
      </c>
      <c r="K153" s="20">
        <v>53</v>
      </c>
      <c r="L153" s="20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3" s="20">
        <v>60</v>
      </c>
      <c r="N153" s="35">
        <f>Table2[[#This Row],[Home EV]]+Table2[[#This Row],[Away EV]]</f>
        <v>58.112296324780843</v>
      </c>
      <c r="O153" s="21">
        <f t="shared" si="14"/>
        <v>-7</v>
      </c>
      <c r="P153" s="20">
        <v>-2.5</v>
      </c>
      <c r="Q153" s="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53" s="35">
        <v>-1.1599999999999999</v>
      </c>
      <c r="S153" s="35">
        <f t="shared" si="20"/>
        <v>-1.1062499999999997</v>
      </c>
      <c r="T153" s="31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53" s="35">
        <v>2.0699999999999998</v>
      </c>
      <c r="V153" s="35">
        <f>-VLOOKUP(Table2[[#This Row],[Home Team]],home_lookup,3,FALSE)-VLOOKUP(B153,lookup,2,FALSE)+VLOOKUP(C153,lookup,2,FALSE)</f>
        <v>2.0886506449161102</v>
      </c>
      <c r="Y153" s="3">
        <f t="shared" si="17"/>
        <v>-9.0886506449161111</v>
      </c>
      <c r="Z153" s="1">
        <f>Table2[[#This Row],[ERR (B)]]^2</f>
        <v>82.603570545334037</v>
      </c>
      <c r="AA153" s="18">
        <f>Table2[[#This Row],[Pace (H)]]-Table2[[#This Row],[Pace (A)]]</f>
        <v>1.5909090909090935</v>
      </c>
      <c r="AB153" s="19">
        <f>Table2[[#This Row],[Total EV]]-Table2[[#Totals],[Total EV]]</f>
        <v>9.2405865132932163</v>
      </c>
      <c r="AC153" s="19">
        <f>Table2[[#This Row],[Total EV]]-Table2[[#This Row],[Total (V)]]</f>
        <v>5.1122963247808428</v>
      </c>
      <c r="AD153" s="3">
        <f>Table2[[#This Row],[Margin (V)]]-Table2[[#This Row],[EV (A)]]</f>
        <v>-1.3937500000000003</v>
      </c>
      <c r="AE153" t="b">
        <f>IF(VLOOKUP(Table2[[#This Row],[Home Team]],division_lookup,2,FALSE)=VLOOKUP(Table2[[#This Row],[Away Team]],division_lookup,2,FALSE),TRUE, FALSE)</f>
        <v>1</v>
      </c>
    </row>
    <row r="154" spans="1:31" x14ac:dyDescent="0.25">
      <c r="A154" s="25">
        <v>11</v>
      </c>
      <c r="B154" s="25" t="s">
        <v>17</v>
      </c>
      <c r="C154" s="25" t="s">
        <v>19</v>
      </c>
      <c r="D154" s="25">
        <v>17</v>
      </c>
      <c r="E154" s="25">
        <v>19</v>
      </c>
      <c r="F154" s="32">
        <f>VLOOKUP(Table2[[#This Row],[Home Team]],home_lookup,3,FALSE)+VLOOKUP(Table2[[#This Row],[Home Team]],off_pts_lookup,7,FALSE)+VLOOKUP(Table2[[#This Row],[Away Team]],def_diff_lookup,14,FALSE)</f>
        <v>29.005172522175638</v>
      </c>
      <c r="G154" s="32">
        <f>VLOOKUP(Table2[[#This Row],[Away Team]],off_pts_lookup,7,FALSE)+VLOOKUP(Table2[[#This Row],[Home Team]],def_diff_lookup,14,FALSE)</f>
        <v>19.327746212121212</v>
      </c>
      <c r="H154" s="26">
        <f>VLOOKUP(Table2[[#This Row],[Home Team]],pace_lookup,5,FALSE)</f>
        <v>62.1</v>
      </c>
      <c r="I154" s="26">
        <f>VLOOKUP(Table2[[#This Row],[Away Team]],pace_lookup,5,FALSE)</f>
        <v>69.900000000000006</v>
      </c>
      <c r="J154" s="27">
        <f t="shared" si="18"/>
        <v>36</v>
      </c>
      <c r="K154" s="25">
        <v>44.5</v>
      </c>
      <c r="L154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4" s="25">
        <v>50</v>
      </c>
      <c r="N154" s="36">
        <f>Table2[[#This Row],[Home EV]]+Table2[[#This Row],[Away EV]]</f>
        <v>48.332918734296854</v>
      </c>
      <c r="O154" s="27">
        <f t="shared" si="14"/>
        <v>2</v>
      </c>
      <c r="P154" s="25">
        <v>-7</v>
      </c>
      <c r="Q154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54" s="36">
        <v>-9.26</v>
      </c>
      <c r="S154" s="36">
        <f t="shared" si="20"/>
        <v>-9.1062499999999993</v>
      </c>
      <c r="T154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54" s="36">
        <v>-10.130000000000001</v>
      </c>
      <c r="V154" s="36">
        <f>-VLOOKUP(Table2[[#This Row],[Home Team]],home_lookup,3,FALSE)-VLOOKUP(B154,lookup,2,FALSE)+VLOOKUP(C154,lookup,2,FALSE)</f>
        <v>-9.9774263100544278</v>
      </c>
      <c r="Y154" s="3">
        <f t="shared" si="17"/>
        <v>11.977426310054428</v>
      </c>
      <c r="Z154" s="1">
        <f>Table2[[#This Row],[ERR (B)]]^2</f>
        <v>143.45874101278403</v>
      </c>
      <c r="AA154" s="18">
        <f>Table2[[#This Row],[Pace (H)]]-Table2[[#This Row],[Pace (A)]]</f>
        <v>-7.8000000000000043</v>
      </c>
      <c r="AB154" s="19">
        <f>Table2[[#This Row],[Total EV]]-Table2[[#Totals],[Total EV]]</f>
        <v>-0.53879107719077268</v>
      </c>
      <c r="AC154" s="19">
        <f>Table2[[#This Row],[Total EV]]-Table2[[#This Row],[Total (V)]]</f>
        <v>3.8329187342968538</v>
      </c>
      <c r="AD154" s="3">
        <f>Table2[[#This Row],[Margin (V)]]-Table2[[#This Row],[EV (A)]]</f>
        <v>2.1062499999999993</v>
      </c>
      <c r="AE154" t="b">
        <f>IF(VLOOKUP(Table2[[#This Row],[Home Team]],division_lookup,2,FALSE)=VLOOKUP(Table2[[#This Row],[Away Team]],division_lookup,2,FALSE),TRUE, FALSE)</f>
        <v>0</v>
      </c>
    </row>
    <row r="155" spans="1:31" x14ac:dyDescent="0.25">
      <c r="A155" s="20">
        <v>11</v>
      </c>
      <c r="B155" s="20" t="s">
        <v>11</v>
      </c>
      <c r="C155" s="20" t="s">
        <v>28</v>
      </c>
      <c r="D155" s="20">
        <v>30</v>
      </c>
      <c r="E155" s="20">
        <v>24</v>
      </c>
      <c r="F155" s="31">
        <f>VLOOKUP(Table2[[#This Row],[Home Team]],home_lookup,3,FALSE)+VLOOKUP(Table2[[#This Row],[Home Team]],off_pts_lookup,7,FALSE)+VLOOKUP(Table2[[#This Row],[Away Team]],def_diff_lookup,14,FALSE)</f>
        <v>20.330106107800695</v>
      </c>
      <c r="G155" s="31">
        <f>VLOOKUP(Table2[[#This Row],[Away Team]],off_pts_lookup,7,FALSE)+VLOOKUP(Table2[[#This Row],[Home Team]],def_diff_lookup,14,FALSE)</f>
        <v>17.327746212121209</v>
      </c>
      <c r="H155" s="22">
        <f>VLOOKUP(Table2[[#This Row],[Home Team]],pace_lookup,5,FALSE)</f>
        <v>62.9</v>
      </c>
      <c r="I155" s="22">
        <f>VLOOKUP(Table2[[#This Row],[Away Team]],pace_lookup,5,FALSE)</f>
        <v>71</v>
      </c>
      <c r="J155" s="21">
        <f t="shared" si="18"/>
        <v>54</v>
      </c>
      <c r="K155" s="20">
        <v>40</v>
      </c>
      <c r="L155" s="20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5" s="20">
        <v>34</v>
      </c>
      <c r="N155" s="35">
        <f>Table2[[#This Row],[Home EV]]+Table2[[#This Row],[Away EV]]</f>
        <v>37.657852319921901</v>
      </c>
      <c r="O155" s="21">
        <f t="shared" si="14"/>
        <v>-6</v>
      </c>
      <c r="P155" s="20">
        <v>-1.5</v>
      </c>
      <c r="Q155" s="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55" s="35">
        <v>-2.76</v>
      </c>
      <c r="S155" s="35">
        <f t="shared" si="20"/>
        <v>-2.7062499999999998</v>
      </c>
      <c r="T155" s="31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55" s="35">
        <v>-3.48</v>
      </c>
      <c r="V155" s="35">
        <f>-VLOOKUP(Table2[[#This Row],[Home Team]],home_lookup,3,FALSE)-VLOOKUP(B155,lookup,2,FALSE)+VLOOKUP(C155,lookup,2,FALSE)</f>
        <v>-3.5023598956794855</v>
      </c>
      <c r="Y155" s="3">
        <f t="shared" si="17"/>
        <v>-2.4976401043205145</v>
      </c>
      <c r="Z155" s="1">
        <f>Table2[[#This Row],[ERR (B)]]^2</f>
        <v>6.2382060907101904</v>
      </c>
      <c r="AA155" s="18">
        <f>Table2[[#This Row],[Pace (H)]]-Table2[[#This Row],[Pace (A)]]</f>
        <v>-8.1000000000000014</v>
      </c>
      <c r="AB155" s="19">
        <f>Table2[[#This Row],[Total EV]]-Table2[[#Totals],[Total EV]]</f>
        <v>-11.213857491565726</v>
      </c>
      <c r="AC155" s="19">
        <f>Table2[[#This Row],[Total EV]]-Table2[[#This Row],[Total (V)]]</f>
        <v>-2.3421476800780994</v>
      </c>
      <c r="AD155" s="3">
        <f>Table2[[#This Row],[Margin (V)]]-Table2[[#This Row],[EV (A)]]</f>
        <v>1.2062499999999998</v>
      </c>
      <c r="AE155" t="b">
        <f>IF(VLOOKUP(Table2[[#This Row],[Home Team]],division_lookup,2,FALSE)=VLOOKUP(Table2[[#This Row],[Away Team]],division_lookup,2,FALSE),TRUE, FALSE)</f>
        <v>0</v>
      </c>
    </row>
    <row r="156" spans="1:31" x14ac:dyDescent="0.25">
      <c r="A156" s="25">
        <v>11</v>
      </c>
      <c r="B156" s="25" t="s">
        <v>23</v>
      </c>
      <c r="C156" s="25" t="s">
        <v>4</v>
      </c>
      <c r="D156" s="25">
        <v>26</v>
      </c>
      <c r="E156" s="25">
        <v>19</v>
      </c>
      <c r="F156" s="32">
        <f>VLOOKUP(Table2[[#This Row],[Home Team]],home_lookup,3,FALSE)+VLOOKUP(Table2[[#This Row],[Home Team]],off_pts_lookup,7,FALSE)+VLOOKUP(Table2[[#This Row],[Away Team]],def_diff_lookup,14,FALSE)</f>
        <v>30.180805612513673</v>
      </c>
      <c r="G156" s="32">
        <f>VLOOKUP(Table2[[#This Row],[Away Team]],off_pts_lookup,7,FALSE)+VLOOKUP(Table2[[#This Row],[Home Team]],def_diff_lookup,14,FALSE)</f>
        <v>18.927746212121207</v>
      </c>
      <c r="H156" s="26">
        <f>VLOOKUP(Table2[[#This Row],[Home Team]],pace_lookup,5,FALSE)</f>
        <v>59.4</v>
      </c>
      <c r="I156" s="26">
        <f>VLOOKUP(Table2[[#This Row],[Away Team]],pace_lookup,5,FALSE)</f>
        <v>65.099999999999994</v>
      </c>
      <c r="J156" s="27">
        <f t="shared" si="18"/>
        <v>45</v>
      </c>
      <c r="K156" s="25">
        <v>47.5</v>
      </c>
      <c r="L156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56" s="25">
        <v>49</v>
      </c>
      <c r="N156" s="36">
        <f>Table2[[#This Row],[Home EV]]+Table2[[#This Row],[Away EV]]</f>
        <v>49.10855182463488</v>
      </c>
      <c r="O156" s="27">
        <f t="shared" si="14"/>
        <v>-7</v>
      </c>
      <c r="P156" s="29">
        <v>-6.5</v>
      </c>
      <c r="Q156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56" s="36">
        <v>-10.46</v>
      </c>
      <c r="S156" s="36">
        <f t="shared" si="20"/>
        <v>-10.40625</v>
      </c>
      <c r="T156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56" s="36">
        <v>-10.93</v>
      </c>
      <c r="V156" s="36">
        <f>-VLOOKUP(Table2[[#This Row],[Home Team]],home_lookup,3,FALSE)-VLOOKUP(B156,lookup,2,FALSE)+VLOOKUP(C156,lookup,2,FALSE)</f>
        <v>-10.953059400392458</v>
      </c>
      <c r="Y156" s="3">
        <f t="shared" si="17"/>
        <v>3.9530594003924584</v>
      </c>
      <c r="Z156" s="1">
        <f>Table2[[#This Row],[ERR (B)]]^2</f>
        <v>15.626678623031182</v>
      </c>
      <c r="AA156" s="18">
        <f>Table2[[#This Row],[Pace (H)]]-Table2[[#This Row],[Pace (A)]]</f>
        <v>-5.6999999999999957</v>
      </c>
      <c r="AB156" s="19">
        <f>Table2[[#This Row],[Total EV]]-Table2[[#Totals],[Total EV]]</f>
        <v>0.23684201314725328</v>
      </c>
      <c r="AC156" s="19">
        <f>Table2[[#This Row],[Total EV]]-Table2[[#This Row],[Total (V)]]</f>
        <v>1.6085518246348798</v>
      </c>
      <c r="AD156" s="3">
        <f>Table2[[#This Row],[Margin (V)]]-Table2[[#This Row],[EV (A)]]</f>
        <v>3.90625</v>
      </c>
      <c r="AE156" t="b">
        <f>IF(VLOOKUP(Table2[[#This Row],[Home Team]],division_lookup,2,FALSE)=VLOOKUP(Table2[[#This Row],[Away Team]],division_lookup,2,FALSE),TRUE, FALSE)</f>
        <v>0</v>
      </c>
    </row>
    <row r="157" spans="1:31" x14ac:dyDescent="0.25">
      <c r="A157" s="25">
        <v>11</v>
      </c>
      <c r="B157" s="25" t="s">
        <v>25</v>
      </c>
      <c r="C157" s="25" t="s">
        <v>10</v>
      </c>
      <c r="D157" s="25">
        <v>22</v>
      </c>
      <c r="E157" s="25">
        <v>16</v>
      </c>
      <c r="F157" s="32">
        <f>VLOOKUP(Table2[[#This Row],[Home Team]],home_lookup,3,FALSE)+VLOOKUP(Table2[[#This Row],[Home Team]],off_pts_lookup,7,FALSE)+VLOOKUP(Table2[[#This Row],[Away Team]],def_diff_lookup,14,FALSE)</f>
        <v>24.370875024346319</v>
      </c>
      <c r="G157" s="32">
        <f>VLOOKUP(Table2[[#This Row],[Away Team]],off_pts_lookup,7,FALSE)+VLOOKUP(Table2[[#This Row],[Home Team]],def_diff_lookup,14,FALSE)</f>
        <v>12.827746212121211</v>
      </c>
      <c r="H157" s="26">
        <f>VLOOKUP(Table2[[#This Row],[Home Team]],pace_lookup,5,FALSE)</f>
        <v>62.6</v>
      </c>
      <c r="I157" s="26">
        <f>VLOOKUP(Table2[[#This Row],[Away Team]],pace_lookup,5,FALSE)</f>
        <v>59.3</v>
      </c>
      <c r="J157" s="27">
        <f t="shared" si="18"/>
        <v>38</v>
      </c>
      <c r="K157" s="25">
        <v>42.5</v>
      </c>
      <c r="L157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57" s="25">
        <v>38</v>
      </c>
      <c r="N157" s="36">
        <f>Table2[[#This Row],[Home EV]]+Table2[[#This Row],[Away EV]]</f>
        <v>37.198621236467531</v>
      </c>
      <c r="O157" s="27">
        <f t="shared" si="14"/>
        <v>-6</v>
      </c>
      <c r="P157" s="29">
        <v>-7.5</v>
      </c>
      <c r="Q157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57" s="36">
        <v>-12.16</v>
      </c>
      <c r="S157" s="36">
        <f t="shared" si="20"/>
        <v>-12.106249999999999</v>
      </c>
      <c r="T157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57" s="36">
        <v>-13.41</v>
      </c>
      <c r="V157" s="36">
        <f>-VLOOKUP(Table2[[#This Row],[Home Team]],home_lookup,3,FALSE)-VLOOKUP(B157,lookup,2,FALSE)+VLOOKUP(C157,lookup,2,FALSE)</f>
        <v>-12.343128812225107</v>
      </c>
      <c r="Y157" s="3">
        <f t="shared" si="17"/>
        <v>6.3431288122251068</v>
      </c>
      <c r="Z157" s="1">
        <f>Table2[[#This Row],[ERR (B)]]^2</f>
        <v>40.235283128480297</v>
      </c>
      <c r="AA157" s="18">
        <f>Table2[[#This Row],[Pace (H)]]-Table2[[#This Row],[Pace (A)]]</f>
        <v>3.3000000000000043</v>
      </c>
      <c r="AB157" s="19">
        <f>Table2[[#This Row],[Total EV]]-Table2[[#Totals],[Total EV]]</f>
        <v>-11.673088575020095</v>
      </c>
      <c r="AC157" s="19">
        <f>Table2[[#This Row],[Total EV]]-Table2[[#This Row],[Total (V)]]</f>
        <v>-5.301378763532469</v>
      </c>
      <c r="AD157" s="3">
        <f>Table2[[#This Row],[Margin (V)]]-Table2[[#This Row],[EV (A)]]</f>
        <v>4.6062499999999993</v>
      </c>
      <c r="AE157" t="b">
        <f>IF(VLOOKUP(Table2[[#This Row],[Home Team]],division_lookup,2,FALSE)=VLOOKUP(Table2[[#This Row],[Away Team]],division_lookup,2,FALSE),TRUE, FALSE)</f>
        <v>0</v>
      </c>
    </row>
    <row r="158" spans="1:31" x14ac:dyDescent="0.25">
      <c r="A158" s="25">
        <v>11</v>
      </c>
      <c r="B158" s="25" t="s">
        <v>32</v>
      </c>
      <c r="C158" s="25" t="s">
        <v>22</v>
      </c>
      <c r="D158" s="25">
        <v>10</v>
      </c>
      <c r="E158" s="25">
        <v>14</v>
      </c>
      <c r="F158" s="32">
        <f>VLOOKUP(Table2[[#This Row],[Home Team]],home_lookup,3,FALSE)+VLOOKUP(Table2[[#This Row],[Home Team]],off_pts_lookup,7,FALSE)+VLOOKUP(Table2[[#This Row],[Away Team]],def_diff_lookup,14,FALSE)</f>
        <v>16.657562891220941</v>
      </c>
      <c r="G158" s="32">
        <f>VLOOKUP(Table2[[#This Row],[Away Team]],off_pts_lookup,7,FALSE)+VLOOKUP(Table2[[#This Row],[Home Team]],def_diff_lookup,14,FALSE)</f>
        <v>17.62774621212121</v>
      </c>
      <c r="H158" s="26">
        <f>VLOOKUP(Table2[[#This Row],[Home Team]],pace_lookup,5,FALSE)</f>
        <v>62.2</v>
      </c>
      <c r="I158" s="26">
        <f>VLOOKUP(Table2[[#This Row],[Away Team]],pace_lookup,5,FALSE)</f>
        <v>56.9</v>
      </c>
      <c r="J158" s="27">
        <f t="shared" si="18"/>
        <v>24</v>
      </c>
      <c r="K158" s="25">
        <v>39.5</v>
      </c>
      <c r="L158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58" s="25">
        <v>37</v>
      </c>
      <c r="N158" s="36">
        <f>Table2[[#This Row],[Home EV]]+Table2[[#This Row],[Away EV]]</f>
        <v>34.285309103342151</v>
      </c>
      <c r="O158" s="27">
        <f t="shared" si="14"/>
        <v>4</v>
      </c>
      <c r="P158" s="25">
        <v>2.5</v>
      </c>
      <c r="Q158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58" s="36">
        <v>1.44</v>
      </c>
      <c r="S158" s="36">
        <f t="shared" si="20"/>
        <v>1.3937499999999998</v>
      </c>
      <c r="T158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58" s="36">
        <v>1.37</v>
      </c>
      <c r="V158" s="36">
        <f>-VLOOKUP(Table2[[#This Row],[Home Team]],home_lookup,3,FALSE)-VLOOKUP(B158,lookup,2,FALSE)+VLOOKUP(C158,lookup,2,FALSE)</f>
        <v>1.2701833209002715</v>
      </c>
      <c r="Y158" s="3">
        <f t="shared" si="17"/>
        <v>2.7298166790997285</v>
      </c>
      <c r="Z158" s="1">
        <f>Table2[[#This Row],[ERR (B)]]^2</f>
        <v>7.4518991014910698</v>
      </c>
      <c r="AA158" s="18">
        <f>Table2[[#This Row],[Pace (H)]]-Table2[[#This Row],[Pace (A)]]</f>
        <v>5.3000000000000043</v>
      </c>
      <c r="AB158" s="19">
        <f>Table2[[#This Row],[Total EV]]-Table2[[#Totals],[Total EV]]</f>
        <v>-14.586400708145476</v>
      </c>
      <c r="AC158" s="19">
        <f>Table2[[#This Row],[Total EV]]-Table2[[#This Row],[Total (V)]]</f>
        <v>-5.2146908966578494</v>
      </c>
      <c r="AD158" s="3">
        <f>Table2[[#This Row],[Margin (V)]]-Table2[[#This Row],[EV (A)]]</f>
        <v>1.1062500000000002</v>
      </c>
      <c r="AE158" t="b">
        <f>IF(VLOOKUP(Table2[[#This Row],[Home Team]],division_lookup,2,FALSE)=VLOOKUP(Table2[[#This Row],[Away Team]],division_lookup,2,FALSE),TRUE, FALSE)</f>
        <v>0</v>
      </c>
    </row>
    <row r="159" spans="1:31" x14ac:dyDescent="0.25">
      <c r="A159" s="25">
        <v>11</v>
      </c>
      <c r="B159" s="25" t="s">
        <v>21</v>
      </c>
      <c r="C159" s="25" t="s">
        <v>13</v>
      </c>
      <c r="D159" s="25">
        <v>26</v>
      </c>
      <c r="E159" s="25">
        <v>15</v>
      </c>
      <c r="F159" s="32">
        <f>VLOOKUP(Table2[[#This Row],[Home Team]],home_lookup,3,FALSE)+VLOOKUP(Table2[[#This Row],[Home Team]],off_pts_lookup,7,FALSE)+VLOOKUP(Table2[[#This Row],[Away Team]],def_diff_lookup,14,FALSE)</f>
        <v>20.582532156854121</v>
      </c>
      <c r="G159" s="32">
        <f>VLOOKUP(Table2[[#This Row],[Away Team]],off_pts_lookup,7,FALSE)+VLOOKUP(Table2[[#This Row],[Home Team]],def_diff_lookup,14,FALSE)</f>
        <v>17.027746212121208</v>
      </c>
      <c r="H159" s="26">
        <f>VLOOKUP(Table2[[#This Row],[Home Team]],pace_lookup,5,FALSE)</f>
        <v>61.1</v>
      </c>
      <c r="I159" s="40">
        <f>VLOOKUP(Table2[[#This Row],[Away Team]],pace_lookup,5,FALSE)</f>
        <v>65.5</v>
      </c>
      <c r="J159" s="27">
        <f t="shared" si="18"/>
        <v>41</v>
      </c>
      <c r="K159" s="25">
        <v>42.5</v>
      </c>
      <c r="L159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59" s="25">
        <v>38</v>
      </c>
      <c r="N159" s="41">
        <f>Table2[[#This Row],[Home EV]]+Table2[[#This Row],[Away EV]]</f>
        <v>37.610278368975329</v>
      </c>
      <c r="O159" s="27">
        <f t="shared" si="14"/>
        <v>-11</v>
      </c>
      <c r="P159" s="25">
        <v>-6.5</v>
      </c>
      <c r="Q159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59" s="36">
        <v>0.14000000000000001</v>
      </c>
      <c r="S159" s="36">
        <f t="shared" si="20"/>
        <v>0.19375000000000053</v>
      </c>
      <c r="T159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59" s="36">
        <v>0.17</v>
      </c>
      <c r="V159" s="36">
        <f>-VLOOKUP(Table2[[#This Row],[Home Team]],home_lookup,3,FALSE)-VLOOKUP(B159,lookup,2,FALSE)+VLOOKUP(C159,lookup,2,FALSE)</f>
        <v>0.14521405526708531</v>
      </c>
      <c r="Y159" s="3">
        <f t="shared" si="17"/>
        <v>-11.145214055267086</v>
      </c>
      <c r="Z159" s="1">
        <f>Table2[[#This Row],[ERR (B)]]^2</f>
        <v>124.21579633772301</v>
      </c>
      <c r="AA159" s="18">
        <f>Table2[[#This Row],[Pace (H)]]-Table2[[#This Row],[Pace (A)]]</f>
        <v>-4.3999999999999986</v>
      </c>
      <c r="AB159" s="19">
        <f>Table2[[#This Row],[Total EV]]-Table2[[#Totals],[Total EV]]</f>
        <v>-11.261431442512297</v>
      </c>
      <c r="AC159" s="19">
        <f>Table2[[#This Row],[Total EV]]-Table2[[#This Row],[Total (V)]]</f>
        <v>-4.8897216310246705</v>
      </c>
      <c r="AD159" s="3">
        <f>Table2[[#This Row],[Margin (V)]]-Table2[[#This Row],[EV (A)]]</f>
        <v>-6.6937500000000005</v>
      </c>
      <c r="AE159" t="b">
        <f>IF(VLOOKUP(Table2[[#This Row],[Home Team]],division_lookup,2,FALSE)=VLOOKUP(Table2[[#This Row],[Away Team]],division_lookup,2,FALSE),TRUE, FALSE)</f>
        <v>0</v>
      </c>
    </row>
    <row r="160" spans="1:31" x14ac:dyDescent="0.25">
      <c r="A160" s="20">
        <v>11</v>
      </c>
      <c r="B160" s="20" t="s">
        <v>31</v>
      </c>
      <c r="C160" s="20" t="s">
        <v>27</v>
      </c>
      <c r="D160" s="20">
        <v>17</v>
      </c>
      <c r="E160" s="20">
        <v>30</v>
      </c>
      <c r="F160" s="31">
        <f>VLOOKUP(Table2[[#This Row],[Home Team]],home_lookup,3,FALSE)+VLOOKUP(Table2[[#This Row],[Home Team]],off_pts_lookup,7,FALSE)+VLOOKUP(Table2[[#This Row],[Away Team]],def_diff_lookup,14,FALSE)</f>
        <v>25.290382244393324</v>
      </c>
      <c r="G160" s="31">
        <f>VLOOKUP(Table2[[#This Row],[Away Team]],off_pts_lookup,7,FALSE)+VLOOKUP(Table2[[#This Row],[Home Team]],def_diff_lookup,14,FALSE)</f>
        <v>35.527746212121208</v>
      </c>
      <c r="H160" s="22">
        <f>VLOOKUP(Table2[[#This Row],[Home Team]],pace_lookup,5,FALSE)</f>
        <v>63</v>
      </c>
      <c r="I160" s="22">
        <f>VLOOKUP(Table2[[#This Row],[Away Team]],pace_lookup,5,FALSE)</f>
        <v>63.9</v>
      </c>
      <c r="J160" s="21">
        <f t="shared" si="18"/>
        <v>47</v>
      </c>
      <c r="K160" s="20">
        <v>51</v>
      </c>
      <c r="L160" s="20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60" s="20">
        <v>60</v>
      </c>
      <c r="N160" s="35">
        <f>Table2[[#This Row],[Home EV]]+Table2[[#This Row],[Away EV]]</f>
        <v>60.818128456514529</v>
      </c>
      <c r="O160" s="21">
        <f t="shared" si="14"/>
        <v>13</v>
      </c>
      <c r="P160" s="20">
        <v>11</v>
      </c>
      <c r="Q160" s="20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60" s="35">
        <v>15.14</v>
      </c>
      <c r="S160" s="35">
        <f t="shared" si="20"/>
        <v>15.193750000000001</v>
      </c>
      <c r="T160" s="31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60" s="35">
        <v>8.35</v>
      </c>
      <c r="V160" s="35">
        <f>-VLOOKUP(Table2[[#This Row],[Home Team]],home_lookup,3,FALSE)-VLOOKUP(B160,lookup,2,FALSE)+VLOOKUP(C160,lookup,2,FALSE)</f>
        <v>8.3373639677278941</v>
      </c>
      <c r="Y160" s="3">
        <f t="shared" si="17"/>
        <v>4.6626360322721059</v>
      </c>
      <c r="Z160" s="1">
        <f>Table2[[#This Row],[ERR (B)]]^2</f>
        <v>21.740174769442167</v>
      </c>
      <c r="AA160" s="18">
        <f>Table2[[#This Row],[Pace (H)]]-Table2[[#This Row],[Pace (A)]]</f>
        <v>-0.89999999999999858</v>
      </c>
      <c r="AB160" s="19">
        <f>Table2[[#This Row],[Total EV]]-Table2[[#Totals],[Total EV]]</f>
        <v>11.946418645026903</v>
      </c>
      <c r="AC160" s="19">
        <f>Table2[[#This Row],[Total EV]]-Table2[[#This Row],[Total (V)]]</f>
        <v>9.818128456514529</v>
      </c>
      <c r="AD160" s="3">
        <f>Table2[[#This Row],[Margin (V)]]-Table2[[#This Row],[EV (A)]]</f>
        <v>-4.1937500000000014</v>
      </c>
      <c r="AE160" t="b">
        <f>IF(VLOOKUP(Table2[[#This Row],[Home Team]],division_lookup,2,FALSE)=VLOOKUP(Table2[[#This Row],[Away Team]],division_lookup,2,FALSE),TRUE, FALSE)</f>
        <v>0</v>
      </c>
    </row>
    <row r="161" spans="1:31" x14ac:dyDescent="0.25">
      <c r="A161" s="25">
        <v>11</v>
      </c>
      <c r="B161" s="25" t="s">
        <v>30</v>
      </c>
      <c r="C161" s="25" t="s">
        <v>3</v>
      </c>
      <c r="D161" s="25">
        <v>42</v>
      </c>
      <c r="E161" s="25">
        <v>24</v>
      </c>
      <c r="F161" s="32">
        <f>VLOOKUP(Table2[[#This Row],[Home Team]],home_lookup,3,FALSE)+VLOOKUP(Table2[[#This Row],[Home Team]],off_pts_lookup,7,FALSE)+VLOOKUP(Table2[[#This Row],[Away Team]],def_diff_lookup,14,FALSE)</f>
        <v>30.84648899211491</v>
      </c>
      <c r="G161" s="32">
        <f>VLOOKUP(Table2[[#This Row],[Away Team]],off_pts_lookup,7,FALSE)+VLOOKUP(Table2[[#This Row],[Home Team]],def_diff_lookup,14,FALSE)</f>
        <v>25.127746212121213</v>
      </c>
      <c r="H161" s="26">
        <f>VLOOKUP(Table2[[#This Row],[Home Team]],pace_lookup,5,FALSE)</f>
        <v>65.5</v>
      </c>
      <c r="I161" s="26">
        <f>VLOOKUP(Table2[[#This Row],[Away Team]],pace_lookup,5,FALSE)</f>
        <v>66.2</v>
      </c>
      <c r="J161" s="27">
        <f t="shared" si="18"/>
        <v>66</v>
      </c>
      <c r="K161" s="25">
        <v>49</v>
      </c>
      <c r="L161" s="25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1" s="25">
        <v>52</v>
      </c>
      <c r="N161" s="36">
        <f>Table2[[#This Row],[Home EV]]+Table2[[#This Row],[Away EV]]</f>
        <v>55.974235204236123</v>
      </c>
      <c r="O161" s="27">
        <f t="shared" si="14"/>
        <v>-18</v>
      </c>
      <c r="P161" s="25">
        <v>-3</v>
      </c>
      <c r="Q161" s="25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1</v>
      </c>
      <c r="R161" s="36">
        <v>-6.16</v>
      </c>
      <c r="S161" s="36">
        <f t="shared" si="20"/>
        <v>-6.0062499999999996</v>
      </c>
      <c r="T161" s="32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1" s="36">
        <v>-3.81</v>
      </c>
      <c r="V161" s="36">
        <f>-VLOOKUP(Table2[[#This Row],[Home Team]],home_lookup,3,FALSE)-VLOOKUP(B161,lookup,2,FALSE)+VLOOKUP(C161,lookup,2,FALSE)</f>
        <v>-3.8187427799936975</v>
      </c>
      <c r="Y161" s="3">
        <f t="shared" si="17"/>
        <v>-14.181257220006302</v>
      </c>
      <c r="Z161" s="1">
        <f>Table2[[#This Row],[ERR (B)]]^2</f>
        <v>201.10805633998086</v>
      </c>
      <c r="AA161" s="18">
        <f>Table2[[#This Row],[Pace (H)]]-Table2[[#This Row],[Pace (A)]]</f>
        <v>-0.70000000000000284</v>
      </c>
      <c r="AB161" s="19">
        <f>Table2[[#This Row],[Total EV]]-Table2[[#Totals],[Total EV]]</f>
        <v>7.1025253927484968</v>
      </c>
      <c r="AC161" s="19">
        <f>Table2[[#This Row],[Total EV]]-Table2[[#This Row],[Total (V)]]</f>
        <v>6.9742352042361233</v>
      </c>
      <c r="AD161" s="3">
        <f>Table2[[#This Row],[Margin (V)]]-Table2[[#This Row],[EV (A)]]</f>
        <v>3.0062499999999996</v>
      </c>
      <c r="AE161" t="b">
        <f>IF(VLOOKUP(Table2[[#This Row],[Home Team]],division_lookup,2,FALSE)=VLOOKUP(Table2[[#This Row],[Away Team]],division_lookup,2,FALSE),TRUE, FALSE)</f>
        <v>0</v>
      </c>
    </row>
    <row r="162" spans="1:31" ht="15.75" thickBot="1" x14ac:dyDescent="0.3">
      <c r="A162" s="43">
        <v>11</v>
      </c>
      <c r="B162" s="43" t="s">
        <v>15</v>
      </c>
      <c r="C162" s="43" t="s">
        <v>9</v>
      </c>
      <c r="D162" s="43"/>
      <c r="E162" s="43"/>
      <c r="F162" s="44">
        <f>VLOOKUP(Table2[[#This Row],[Home Team]],home_lookup,3,FALSE)+VLOOKUP(Table2[[#This Row],[Home Team]],off_pts_lookup,7,FALSE)+VLOOKUP(Table2[[#This Row],[Away Team]],def_diff_lookup,14,FALSE)</f>
        <v>23.665971026332549</v>
      </c>
      <c r="G162" s="44">
        <f>VLOOKUP(Table2[[#This Row],[Away Team]],off_pts_lookup,7,FALSE)+VLOOKUP(Table2[[#This Row],[Home Team]],def_diff_lookup,14,FALSE)</f>
        <v>19.794412878787877</v>
      </c>
      <c r="H162" s="45">
        <f>VLOOKUP(Table2[[#This Row],[Home Team]],pace_lookup,5,FALSE)</f>
        <v>67</v>
      </c>
      <c r="I162" s="45">
        <f>VLOOKUP(Table2[[#This Row],[Away Team]],pace_lookup,5,FALSE)</f>
        <v>65.777777777777771</v>
      </c>
      <c r="J162" s="46">
        <f t="shared" si="18"/>
        <v>0</v>
      </c>
      <c r="K162" s="43">
        <v>46</v>
      </c>
      <c r="L162" s="4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2" s="43">
        <v>43.5</v>
      </c>
      <c r="N162" s="47">
        <f>Table2[[#This Row],[Home EV]]+Table2[[#This Row],[Away EV]]</f>
        <v>43.460383905120423</v>
      </c>
      <c r="O162" s="46">
        <f t="shared" ref="O162" si="21">E162-D162</f>
        <v>0</v>
      </c>
      <c r="P162" s="43">
        <v>-6</v>
      </c>
      <c r="Q162" s="43">
        <f>IF(OR(AND(Table2[[#This Row],[Real EV (A)]]&lt;Table2[[#This Row],[Margin (V)]],Table2[[#This Row],[Margin]]&lt;Table2[[#This Row],[Margin (V)]]),AND(Table2[[#This Row],[Real EV (A)]]&gt;Table2[[#This Row],[Margin (V)]],Table2[[#This Row],[Margin]]&gt;Table2[[#This Row],[Margin (V)]])),1,0)</f>
        <v>0</v>
      </c>
      <c r="R162" s="47">
        <v>-9.9</v>
      </c>
      <c r="S162" s="47">
        <f t="shared" si="20"/>
        <v>-9.90625</v>
      </c>
      <c r="T162" s="44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2" s="47">
        <v>-5.43</v>
      </c>
      <c r="V162" s="47">
        <f>-VLOOKUP(Table2[[#This Row],[Home Team]],home_lookup,3,FALSE)-VLOOKUP(B162,lookup,2,FALSE)+VLOOKUP(C162,lookup,2,FALSE)</f>
        <v>-5.4271137031002326</v>
      </c>
      <c r="W162" s="9"/>
      <c r="X162" s="9"/>
      <c r="Y162" s="15">
        <f t="shared" si="17"/>
        <v>5.4271137031002326</v>
      </c>
      <c r="Z162" s="16">
        <f>Table2[[#This Row],[ERR (B)]]^2</f>
        <v>29.453563146378318</v>
      </c>
      <c r="AA162" s="24">
        <f>Table2[[#This Row],[Pace (H)]]-Table2[[#This Row],[Pace (A)]]</f>
        <v>1.2222222222222285</v>
      </c>
      <c r="AB162" s="15">
        <f>Table2[[#This Row],[Total EV]]-Table2[[#Totals],[Total EV]]</f>
        <v>-5.4113259063672032</v>
      </c>
      <c r="AC162" s="15">
        <f>Table2[[#This Row],[Total EV]]-Table2[[#This Row],[Total (V)]]</f>
        <v>-2.5396160948795767</v>
      </c>
      <c r="AD162" s="15">
        <f>Table2[[#This Row],[Margin (V)]]-Table2[[#This Row],[EV (A)]]</f>
        <v>3.90625</v>
      </c>
      <c r="AE162" s="9" t="b">
        <f>IF(VLOOKUP(Table2[[#This Row],[Home Team]],division_lookup,2,FALSE)=VLOOKUP(Table2[[#This Row],[Away Team]],division_lookup,2,FALSE),TRUE, FALSE)</f>
        <v>0</v>
      </c>
    </row>
    <row r="163" spans="1:31" x14ac:dyDescent="0.25">
      <c r="A163">
        <v>12</v>
      </c>
      <c r="B163" t="s">
        <v>23</v>
      </c>
      <c r="C163" t="s">
        <v>11</v>
      </c>
      <c r="F163" s="6">
        <f>VLOOKUP(Table2[[#This Row],[Home Team]],home_lookup,3,FALSE)+VLOOKUP(Table2[[#This Row],[Home Team]],off_pts_lookup,7,FALSE)+VLOOKUP(Table2[[#This Row],[Away Team]],def_diff_lookup,14,FALSE)</f>
        <v>21.280805612513667</v>
      </c>
      <c r="G163" s="6">
        <f>VLOOKUP(Table2[[#This Row],[Away Team]],off_pts_lookup,7,FALSE)+VLOOKUP(Table2[[#This Row],[Home Team]],def_diff_lookup,14,FALSE)</f>
        <v>20.12774621212121</v>
      </c>
      <c r="H163" s="6">
        <f>VLOOKUP(Table2[[#This Row],[Home Team]],pace_lookup,5,FALSE)</f>
        <v>59.4</v>
      </c>
      <c r="I163" s="6">
        <f>VLOOKUP(Table2[[#This Row],[Away Team]],pace_lookup,5,FALSE)</f>
        <v>62.9</v>
      </c>
      <c r="J163" s="48"/>
      <c r="K163" s="6">
        <v>42.5</v>
      </c>
      <c r="L163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3" s="3"/>
      <c r="N163" s="33">
        <f>Table2[[#This Row],[Home EV]]+Table2[[#This Row],[Away EV]]</f>
        <v>41.408551824634877</v>
      </c>
      <c r="O163" s="48"/>
      <c r="P163" s="33">
        <v>-3</v>
      </c>
      <c r="Q163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1</v>
      </c>
      <c r="R163" s="3"/>
      <c r="S163" s="33">
        <f>-home-VLOOKUP(B163,lookup,2,FALSE)+VLOOKUP(C163,lookup,2,FALSE)</f>
        <v>0.29374999999999996</v>
      </c>
      <c r="T163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3" s="33"/>
      <c r="V163" s="33">
        <f>-VLOOKUP(Table2[[#This Row],[Home Team]],home_lookup,3,FALSE)-VLOOKUP(B163,lookup,2,FALSE)+VLOOKUP(C163,lookup,2,FALSE)</f>
        <v>-0.25305940039245822</v>
      </c>
      <c r="Y163" s="1">
        <f>$O163-V163</f>
        <v>0.25305940039245822</v>
      </c>
      <c r="Z163" s="42">
        <f>Table2[[#This Row],[ERR (B)]]^2</f>
        <v>6.4039060126990482E-2</v>
      </c>
      <c r="AA163" s="18">
        <f>Table2[[#This Row],[Pace (H)]]-Table2[[#This Row],[Pace (A)]]</f>
        <v>-3.5</v>
      </c>
      <c r="AB163" s="19">
        <f>Table2[[#This Row],[Total EV]]-Table2[[#Totals],[Total EV]]</f>
        <v>-7.4631579868527496</v>
      </c>
      <c r="AC163" s="19">
        <f>Table2[[#This Row],[Total EV]]-Table2[[#This Row],[Total (V)]]</f>
        <v>-1.0914481753651231</v>
      </c>
      <c r="AD163" s="3">
        <f>Table2[[#This Row],[Margin (V)]]-Table2[[#This Row],[EV (A)]]</f>
        <v>-3.2937500000000002</v>
      </c>
      <c r="AE163" s="4" t="b">
        <f>IF(VLOOKUP(Table2[[#This Row],[Home Team]],division_lookup,2,FALSE)=VLOOKUP(Table2[[#This Row],[Away Team]],division_lookup,2,FALSE),TRUE, FALSE)</f>
        <v>1</v>
      </c>
    </row>
    <row r="164" spans="1:31" x14ac:dyDescent="0.25">
      <c r="A164">
        <v>12</v>
      </c>
      <c r="B164" t="s">
        <v>26</v>
      </c>
      <c r="C164" t="s">
        <v>30</v>
      </c>
      <c r="F164" s="6">
        <f>VLOOKUP(Table2[[#This Row],[Home Team]],home_lookup,3,FALSE)+VLOOKUP(Table2[[#This Row],[Home Team]],off_pts_lookup,7,FALSE)+VLOOKUP(Table2[[#This Row],[Away Team]],def_diff_lookup,14,FALSE)</f>
        <v>29.036507972904356</v>
      </c>
      <c r="G164" s="6">
        <f>VLOOKUP(Table2[[#This Row],[Away Team]],off_pts_lookup,7,FALSE)+VLOOKUP(Table2[[#This Row],[Home Team]],def_diff_lookup,14,FALSE)</f>
        <v>21.227746212121211</v>
      </c>
      <c r="H164" s="6">
        <f>VLOOKUP(Table2[[#This Row],[Home Team]],pace_lookup,5,FALSE)</f>
        <v>66.5</v>
      </c>
      <c r="I164" s="6">
        <f>VLOOKUP(Table2[[#This Row],[Away Team]],pace_lookup,5,FALSE)</f>
        <v>65.5</v>
      </c>
      <c r="J164" s="18"/>
      <c r="K164" s="6"/>
      <c r="L164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64" s="3"/>
      <c r="N164" s="33">
        <f>Table2[[#This Row],[Home EV]]+Table2[[#This Row],[Away EV]]</f>
        <v>50.264254185025564</v>
      </c>
      <c r="O164" s="18"/>
      <c r="P164" s="33"/>
      <c r="Q164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4" s="3"/>
      <c r="S164" s="33">
        <f>-home-VLOOKUP(B164,lookup,2,FALSE)+VLOOKUP(C164,lookup,2,FALSE)</f>
        <v>-9.90625</v>
      </c>
      <c r="T164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64" s="33"/>
      <c r="V164" s="33">
        <f>-VLOOKUP(Table2[[#This Row],[Home Team]],home_lookup,3,FALSE)-VLOOKUP(B164,lookup,2,FALSE)+VLOOKUP(C164,lookup,2,FALSE)</f>
        <v>-7.1087617607831444</v>
      </c>
      <c r="Y164" s="1">
        <f t="shared" ref="Y164:Y178" si="22">$O164-V164</f>
        <v>7.1087617607831444</v>
      </c>
      <c r="Z164" s="42">
        <f>Table2[[#This Row],[ERR (B)]]^2</f>
        <v>50.53449377157267</v>
      </c>
      <c r="AA164" s="18">
        <f>Table2[[#This Row],[Pace (H)]]-Table2[[#This Row],[Pace (A)]]</f>
        <v>1</v>
      </c>
      <c r="AB164" s="19">
        <f>Table2[[#This Row],[Total EV]]-Table2[[#Totals],[Total EV]]</f>
        <v>1.3925443735379375</v>
      </c>
      <c r="AC164" s="3">
        <f>Table2[[#This Row],[Total EV]]-Table2[[#This Row],[Total (V)]]</f>
        <v>50.264254185025564</v>
      </c>
      <c r="AD164" s="3">
        <f>Table2[[#This Row],[Margin (V)]]-Table2[[#This Row],[EV (A)]]</f>
        <v>9.90625</v>
      </c>
      <c r="AE164" s="4" t="b">
        <f>IF(VLOOKUP(Table2[[#This Row],[Home Team]],division_lookup,2,FALSE)=VLOOKUP(Table2[[#This Row],[Away Team]],division_lookup,2,FALSE),TRUE, FALSE)</f>
        <v>1</v>
      </c>
    </row>
    <row r="165" spans="1:31" x14ac:dyDescent="0.25">
      <c r="A165">
        <v>12</v>
      </c>
      <c r="B165" t="s">
        <v>24</v>
      </c>
      <c r="C165" t="s">
        <v>29</v>
      </c>
      <c r="F165" s="6">
        <f>VLOOKUP(Table2[[#This Row],[Home Team]],home_lookup,3,FALSE)+VLOOKUP(Table2[[#This Row],[Home Team]],off_pts_lookup,7,FALSE)+VLOOKUP(Table2[[#This Row],[Away Team]],def_diff_lookup,14,FALSE)</f>
        <v>24.639095567205096</v>
      </c>
      <c r="G165" s="6">
        <f>VLOOKUP(Table2[[#This Row],[Away Team]],off_pts_lookup,7,FALSE)+VLOOKUP(Table2[[#This Row],[Home Team]],def_diff_lookup,14,FALSE)</f>
        <v>28.227746212121207</v>
      </c>
      <c r="H165" s="6">
        <f>VLOOKUP(Table2[[#This Row],[Home Team]],pace_lookup,5,FALSE)</f>
        <v>65.5</v>
      </c>
      <c r="I165" s="6">
        <f>VLOOKUP(Table2[[#This Row],[Away Team]],pace_lookup,5,FALSE)</f>
        <v>64.400000000000006</v>
      </c>
      <c r="J165" s="18"/>
      <c r="K165" s="6">
        <v>53.5</v>
      </c>
      <c r="L165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5" s="3"/>
      <c r="N165" s="33">
        <f>Table2[[#This Row],[Home EV]]+Table2[[#This Row],[Away EV]]</f>
        <v>52.866841779326307</v>
      </c>
      <c r="O165" s="18"/>
      <c r="P165" s="33">
        <v>2.5</v>
      </c>
      <c r="Q165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5" s="3"/>
      <c r="S165" s="33">
        <f>-home-VLOOKUP(B165,lookup,2,FALSE)+VLOOKUP(C165,lookup,2,FALSE)</f>
        <v>3.1937500000000001</v>
      </c>
      <c r="T165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5" s="33"/>
      <c r="V165" s="33">
        <f>-VLOOKUP(Table2[[#This Row],[Home Team]],home_lookup,3,FALSE)-VLOOKUP(B165,lookup,2,FALSE)+VLOOKUP(C165,lookup,2,FALSE)</f>
        <v>6.38865064491611</v>
      </c>
      <c r="Y165" s="1">
        <f t="shared" si="22"/>
        <v>-6.38865064491611</v>
      </c>
      <c r="Z165" s="42">
        <f>Table2[[#This Row],[ERR (B)]]^2</f>
        <v>40.814857062787027</v>
      </c>
      <c r="AA165" s="18">
        <f>Table2[[#This Row],[Pace (H)]]-Table2[[#This Row],[Pace (A)]]</f>
        <v>1.0999999999999943</v>
      </c>
      <c r="AB165" s="19">
        <f>Table2[[#This Row],[Total EV]]-Table2[[#Totals],[Total EV]]</f>
        <v>3.995131967838681</v>
      </c>
      <c r="AC165" s="19">
        <f>Table2[[#This Row],[Total EV]]-Table2[[#This Row],[Total (V)]]</f>
        <v>-0.63315822067369254</v>
      </c>
      <c r="AD165" s="3">
        <f>Table2[[#This Row],[Margin (V)]]-Table2[[#This Row],[EV (A)]]</f>
        <v>-0.69375000000000009</v>
      </c>
      <c r="AE165" s="4" t="b">
        <f>IF(VLOOKUP(Table2[[#This Row],[Home Team]],division_lookup,2,FALSE)=VLOOKUP(Table2[[#This Row],[Away Team]],division_lookup,2,FALSE),TRUE, FALSE)</f>
        <v>0</v>
      </c>
    </row>
    <row r="166" spans="1:31" x14ac:dyDescent="0.25">
      <c r="A166">
        <v>12</v>
      </c>
      <c r="B166" t="s">
        <v>9</v>
      </c>
      <c r="C166" t="s">
        <v>18</v>
      </c>
      <c r="F166" s="6">
        <f>VLOOKUP(Table2[[#This Row],[Home Team]],home_lookup,3,FALSE)+VLOOKUP(Table2[[#This Row],[Home Team]],off_pts_lookup,7,FALSE)+VLOOKUP(Table2[[#This Row],[Away Team]],def_diff_lookup,14,FALSE)</f>
        <v>30.920294441319129</v>
      </c>
      <c r="G166" s="6">
        <f>VLOOKUP(Table2[[#This Row],[Away Team]],off_pts_lookup,7,FALSE)+VLOOKUP(Table2[[#This Row],[Home Team]],def_diff_lookup,14,FALSE)</f>
        <v>27.216635101010095</v>
      </c>
      <c r="H166" s="6">
        <f>VLOOKUP(Table2[[#This Row],[Home Team]],pace_lookup,5,FALSE)</f>
        <v>65.777777777777771</v>
      </c>
      <c r="I166" s="6">
        <f>VLOOKUP(Table2[[#This Row],[Away Team]],pace_lookup,5,FALSE)</f>
        <v>66.400000000000006</v>
      </c>
      <c r="J166" s="18"/>
      <c r="K166" s="6"/>
      <c r="L166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66" s="3"/>
      <c r="N166" s="33">
        <f>Table2[[#This Row],[Home EV]]+Table2[[#This Row],[Away EV]]</f>
        <v>58.136929542329227</v>
      </c>
      <c r="O166" s="18"/>
      <c r="P166" s="33"/>
      <c r="Q166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6" s="3"/>
      <c r="S166" s="33">
        <f>-home-VLOOKUP(B166,lookup,2,FALSE)+VLOOKUP(C166,lookup,2,FALSE)</f>
        <v>3.2937500000000002</v>
      </c>
      <c r="T166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66" s="33"/>
      <c r="V166" s="33">
        <f>-VLOOKUP(Table2[[#This Row],[Home Team]],home_lookup,3,FALSE)-VLOOKUP(B166,lookup,2,FALSE)+VLOOKUP(C166,lookup,2,FALSE)</f>
        <v>-1.9036593403090292</v>
      </c>
      <c r="Y166" s="1">
        <f t="shared" si="22"/>
        <v>1.9036593403090292</v>
      </c>
      <c r="Z166" s="42">
        <f>Table2[[#This Row],[ERR (B)]]^2</f>
        <v>3.6239188839458083</v>
      </c>
      <c r="AA166" s="18">
        <f>Table2[[#This Row],[Pace (H)]]-Table2[[#This Row],[Pace (A)]]</f>
        <v>-0.62222222222223422</v>
      </c>
      <c r="AB166" s="19">
        <f>Table2[[#This Row],[Total EV]]-Table2[[#Totals],[Total EV]]</f>
        <v>9.2652197308416007</v>
      </c>
      <c r="AC166" s="19">
        <f>Table2[[#This Row],[Total EV]]-Table2[[#This Row],[Total (V)]]</f>
        <v>58.136929542329227</v>
      </c>
      <c r="AD166" s="3">
        <f>Table2[[#This Row],[Margin (V)]]-Table2[[#This Row],[EV (A)]]</f>
        <v>-3.2937500000000002</v>
      </c>
      <c r="AE166" s="4" t="b">
        <f>IF(VLOOKUP(Table2[[#This Row],[Home Team]],division_lookup,2,FALSE)=VLOOKUP(Table2[[#This Row],[Away Team]],division_lookup,2,FALSE),TRUE, FALSE)</f>
        <v>0</v>
      </c>
    </row>
    <row r="167" spans="1:31" x14ac:dyDescent="0.25">
      <c r="A167">
        <v>12</v>
      </c>
      <c r="B167" t="s">
        <v>6</v>
      </c>
      <c r="C167" t="s">
        <v>4</v>
      </c>
      <c r="F167" s="6">
        <f>VLOOKUP(Table2[[#This Row],[Home Team]],home_lookup,3,FALSE)+VLOOKUP(Table2[[#This Row],[Home Team]],off_pts_lookup,7,FALSE)+VLOOKUP(Table2[[#This Row],[Away Team]],def_diff_lookup,14,FALSE)</f>
        <v>28.787084482675613</v>
      </c>
      <c r="G167" s="6">
        <f>VLOOKUP(Table2[[#This Row],[Away Team]],off_pts_lookup,7,FALSE)+VLOOKUP(Table2[[#This Row],[Home Team]],def_diff_lookup,14,FALSE)</f>
        <v>17.927746212121207</v>
      </c>
      <c r="H167" s="6">
        <f>VLOOKUP(Table2[[#This Row],[Home Team]],pace_lookup,5,FALSE)</f>
        <v>62.5</v>
      </c>
      <c r="I167" s="6">
        <f>VLOOKUP(Table2[[#This Row],[Away Team]],pace_lookup,5,FALSE)</f>
        <v>65.099999999999994</v>
      </c>
      <c r="J167" s="18"/>
      <c r="K167" s="6">
        <v>45.5</v>
      </c>
      <c r="L167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67" s="3"/>
      <c r="N167" s="33">
        <f>Table2[[#This Row],[Home EV]]+Table2[[#This Row],[Away EV]]</f>
        <v>46.714830694796817</v>
      </c>
      <c r="O167" s="18"/>
      <c r="P167" s="33">
        <v>-7</v>
      </c>
      <c r="Q167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7" s="3"/>
      <c r="S167" s="33">
        <f>-home-VLOOKUP(B167,lookup,2,FALSE)+VLOOKUP(C167,lookup,2,FALSE)</f>
        <v>-16.206249999999997</v>
      </c>
      <c r="T167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7" s="33"/>
      <c r="V167" s="33">
        <f>-VLOOKUP(Table2[[#This Row],[Home Team]],home_lookup,3,FALSE)-VLOOKUP(B167,lookup,2,FALSE)+VLOOKUP(C167,lookup,2,FALSE)</f>
        <v>-13.1593382705544</v>
      </c>
      <c r="Y167" s="1">
        <f t="shared" si="22"/>
        <v>13.1593382705544</v>
      </c>
      <c r="Z167" s="42">
        <f>Table2[[#This Row],[ERR (B)]]^2</f>
        <v>173.16818371887769</v>
      </c>
      <c r="AA167" s="18">
        <f>Table2[[#This Row],[Pace (H)]]-Table2[[#This Row],[Pace (A)]]</f>
        <v>-2.5999999999999943</v>
      </c>
      <c r="AB167" s="19">
        <f>Table2[[#This Row],[Total EV]]-Table2[[#Totals],[Total EV]]</f>
        <v>-2.1568791166908099</v>
      </c>
      <c r="AC167" s="19">
        <f>Table2[[#This Row],[Total EV]]-Table2[[#This Row],[Total (V)]]</f>
        <v>1.2148306947968166</v>
      </c>
      <c r="AD167" s="3">
        <f>Table2[[#This Row],[Margin (V)]]-Table2[[#This Row],[EV (A)]]</f>
        <v>9.2062499999999972</v>
      </c>
      <c r="AE167" s="4" t="b">
        <f>IF(VLOOKUP(Table2[[#This Row],[Home Team]],division_lookup,2,FALSE)=VLOOKUP(Table2[[#This Row],[Away Team]],division_lookup,2,FALSE),TRUE, FALSE)</f>
        <v>0</v>
      </c>
    </row>
    <row r="168" spans="1:31" x14ac:dyDescent="0.25">
      <c r="A168">
        <v>12</v>
      </c>
      <c r="B168" t="s">
        <v>14</v>
      </c>
      <c r="C168" t="s">
        <v>25</v>
      </c>
      <c r="F168" s="6">
        <f>VLOOKUP(Table2[[#This Row],[Home Team]],home_lookup,3,FALSE)+VLOOKUP(Table2[[#This Row],[Home Team]],off_pts_lookup,7,FALSE)+VLOOKUP(Table2[[#This Row],[Away Team]],def_diff_lookup,14,FALSE)</f>
        <v>13.714356909282234</v>
      </c>
      <c r="G168" s="6">
        <f>VLOOKUP(Table2[[#This Row],[Away Team]],off_pts_lookup,7,FALSE)+VLOOKUP(Table2[[#This Row],[Home Team]],def_diff_lookup,14,FALSE)</f>
        <v>27.073200757575755</v>
      </c>
      <c r="H168" s="6">
        <f>VLOOKUP(Table2[[#This Row],[Home Team]],pace_lookup,5,FALSE)</f>
        <v>60.090909090909093</v>
      </c>
      <c r="I168" s="6">
        <f>VLOOKUP(Table2[[#This Row],[Away Team]],pace_lookup,5,FALSE)</f>
        <v>62.6</v>
      </c>
      <c r="J168" s="18"/>
      <c r="K168" s="6">
        <v>44.5</v>
      </c>
      <c r="L168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8" s="3"/>
      <c r="N168" s="33">
        <f>Table2[[#This Row],[Home EV]]+Table2[[#This Row],[Away EV]]</f>
        <v>40.787557666857992</v>
      </c>
      <c r="O168" s="18"/>
      <c r="P168" s="33">
        <v>7</v>
      </c>
      <c r="Q168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8" s="3"/>
      <c r="S168" s="33">
        <f>-home-VLOOKUP(B168,lookup,2,FALSE)+VLOOKUP(C168,lookup,2,FALSE)</f>
        <v>8.3937500000000007</v>
      </c>
      <c r="T168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8" s="33"/>
      <c r="V168" s="33">
        <f>-VLOOKUP(Table2[[#This Row],[Home Team]],home_lookup,3,FALSE)-VLOOKUP(B168,lookup,2,FALSE)+VLOOKUP(C168,lookup,2,FALSE)</f>
        <v>11.440662030111701</v>
      </c>
      <c r="Y168" s="1">
        <f t="shared" si="22"/>
        <v>-11.440662030111701</v>
      </c>
      <c r="Z168" s="42">
        <f>Table2[[#This Row],[ERR (B)]]^2</f>
        <v>130.8887476872396</v>
      </c>
      <c r="AA168" s="18">
        <f>Table2[[#This Row],[Pace (H)]]-Table2[[#This Row],[Pace (A)]]</f>
        <v>-2.5090909090909079</v>
      </c>
      <c r="AB168" s="19">
        <f>Table2[[#This Row],[Total EV]]-Table2[[#Totals],[Total EV]]</f>
        <v>-8.0841521446296341</v>
      </c>
      <c r="AC168" s="19">
        <f>Table2[[#This Row],[Total EV]]-Table2[[#This Row],[Total (V)]]</f>
        <v>-3.7124423331420076</v>
      </c>
      <c r="AD168" s="3">
        <f>Table2[[#This Row],[Margin (V)]]-Table2[[#This Row],[EV (A)]]</f>
        <v>-1.3937500000000007</v>
      </c>
      <c r="AE168" s="4" t="b">
        <f>IF(VLOOKUP(Table2[[#This Row],[Home Team]],division_lookup,2,FALSE)=VLOOKUP(Table2[[#This Row],[Away Team]],division_lookup,2,FALSE),TRUE, FALSE)</f>
        <v>0</v>
      </c>
    </row>
    <row r="169" spans="1:31" x14ac:dyDescent="0.25">
      <c r="A169">
        <v>12</v>
      </c>
      <c r="B169" t="s">
        <v>16</v>
      </c>
      <c r="C169" t="s">
        <v>32</v>
      </c>
      <c r="F169" s="6">
        <f>VLOOKUP(Table2[[#This Row],[Home Team]],home_lookup,3,FALSE)+VLOOKUP(Table2[[#This Row],[Home Team]],off_pts_lookup,7,FALSE)+VLOOKUP(Table2[[#This Row],[Away Team]],def_diff_lookup,14,FALSE)</f>
        <v>25.026063901248474</v>
      </c>
      <c r="G169" s="6">
        <f>VLOOKUP(Table2[[#This Row],[Away Team]],off_pts_lookup,7,FALSE)+VLOOKUP(Table2[[#This Row],[Home Team]],def_diff_lookup,14,FALSE)</f>
        <v>20.62774621212121</v>
      </c>
      <c r="H169" s="6">
        <f>VLOOKUP(Table2[[#This Row],[Home Team]],pace_lookup,5,FALSE)</f>
        <v>69.400000000000006</v>
      </c>
      <c r="I169" s="6">
        <f>VLOOKUP(Table2[[#This Row],[Away Team]],pace_lookup,5,FALSE)</f>
        <v>62.2</v>
      </c>
      <c r="J169" s="18"/>
      <c r="K169" s="6">
        <v>46</v>
      </c>
      <c r="L169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69" s="3"/>
      <c r="N169" s="33">
        <f>Table2[[#This Row],[Home EV]]+Table2[[#This Row],[Away EV]]</f>
        <v>45.653810113369687</v>
      </c>
      <c r="O169" s="18"/>
      <c r="P169" s="33">
        <v>-7</v>
      </c>
      <c r="Q169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69" s="3"/>
      <c r="S169" s="33">
        <f>-home-VLOOKUP(B169,lookup,2,FALSE)+VLOOKUP(C169,lookup,2,FALSE)</f>
        <v>-8.7062500000000007</v>
      </c>
      <c r="T169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69" s="33"/>
      <c r="V169" s="33">
        <f>-VLOOKUP(Table2[[#This Row],[Home Team]],home_lookup,3,FALSE)-VLOOKUP(B169,lookup,2,FALSE)+VLOOKUP(C169,lookup,2,FALSE)</f>
        <v>-6.4983176891272629</v>
      </c>
      <c r="Y169" s="1">
        <f t="shared" si="22"/>
        <v>6.4983176891272629</v>
      </c>
      <c r="Z169" s="42">
        <f>Table2[[#This Row],[ERR (B)]]^2</f>
        <v>42.22813278882429</v>
      </c>
      <c r="AA169" s="18">
        <f>Table2[[#This Row],[Pace (H)]]-Table2[[#This Row],[Pace (A)]]</f>
        <v>7.2000000000000028</v>
      </c>
      <c r="AB169" s="19">
        <f>Table2[[#This Row],[Total EV]]-Table2[[#Totals],[Total EV]]</f>
        <v>-3.2178996981179395</v>
      </c>
      <c r="AC169" s="19">
        <f>Table2[[#This Row],[Total EV]]-Table2[[#This Row],[Total (V)]]</f>
        <v>-0.34618988663031303</v>
      </c>
      <c r="AD169" s="3">
        <f>Table2[[#This Row],[Margin (V)]]-Table2[[#This Row],[EV (A)]]</f>
        <v>1.7062500000000007</v>
      </c>
      <c r="AE169" s="4" t="b">
        <f>IF(VLOOKUP(Table2[[#This Row],[Home Team]],division_lookup,2,FALSE)=VLOOKUP(Table2[[#This Row],[Away Team]],division_lookup,2,FALSE),TRUE, FALSE)</f>
        <v>0</v>
      </c>
    </row>
    <row r="170" spans="1:31" x14ac:dyDescent="0.25">
      <c r="A170">
        <v>12</v>
      </c>
      <c r="B170" t="s">
        <v>20</v>
      </c>
      <c r="C170" t="s">
        <v>28</v>
      </c>
      <c r="F170" s="6">
        <f>VLOOKUP(Table2[[#This Row],[Home Team]],home_lookup,3,FALSE)+VLOOKUP(Table2[[#This Row],[Home Team]],off_pts_lookup,7,FALSE)+VLOOKUP(Table2[[#This Row],[Away Team]],def_diff_lookup,14,FALSE)</f>
        <v>23.10626584618899</v>
      </c>
      <c r="G170" s="6">
        <f>VLOOKUP(Table2[[#This Row],[Away Team]],off_pts_lookup,7,FALSE)+VLOOKUP(Table2[[#This Row],[Home Team]],def_diff_lookup,14,FALSE)</f>
        <v>28.027746212121212</v>
      </c>
      <c r="H170" s="6">
        <f>VLOOKUP(Table2[[#This Row],[Home Team]],pace_lookup,5,FALSE)</f>
        <v>61.9</v>
      </c>
      <c r="I170" s="6">
        <f>VLOOKUP(Table2[[#This Row],[Away Team]],pace_lookup,5,FALSE)</f>
        <v>71</v>
      </c>
      <c r="J170" s="18"/>
      <c r="K170" s="6">
        <v>50.5</v>
      </c>
      <c r="L170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70" s="3"/>
      <c r="N170" s="33">
        <f>Table2[[#This Row],[Home EV]]+Table2[[#This Row],[Away EV]]</f>
        <v>51.134012058310205</v>
      </c>
      <c r="O170" s="18"/>
      <c r="P170" s="33">
        <v>-4</v>
      </c>
      <c r="Q170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0" s="3"/>
      <c r="S170" s="33">
        <f>-home-VLOOKUP(B170,lookup,2,FALSE)+VLOOKUP(C170,lookup,2,FALSE)</f>
        <v>-6.5062500000000005</v>
      </c>
      <c r="T170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0" s="33"/>
      <c r="V170" s="33">
        <f>-VLOOKUP(Table2[[#This Row],[Home Team]],home_lookup,3,FALSE)-VLOOKUP(B170,lookup,2,FALSE)+VLOOKUP(C170,lookup,2,FALSE)</f>
        <v>1.4214803659322186</v>
      </c>
      <c r="Y170" s="1">
        <f t="shared" si="22"/>
        <v>-1.4214803659322186</v>
      </c>
      <c r="Z170" s="42">
        <f>Table2[[#This Row],[ERR (B)]]^2</f>
        <v>2.020606430730794</v>
      </c>
      <c r="AA170" s="18">
        <f>Table2[[#This Row],[Pace (H)]]-Table2[[#This Row],[Pace (A)]]</f>
        <v>-9.1000000000000014</v>
      </c>
      <c r="AB170" s="19">
        <f>Table2[[#This Row],[Total EV]]-Table2[[#Totals],[Total EV]]</f>
        <v>2.2623022468225784</v>
      </c>
      <c r="AC170" s="19">
        <f>Table2[[#This Row],[Total EV]]-Table2[[#This Row],[Total (V)]]</f>
        <v>0.63401205831020491</v>
      </c>
      <c r="AD170" s="3">
        <f>Table2[[#This Row],[Margin (V)]]-Table2[[#This Row],[EV (A)]]</f>
        <v>2.5062500000000005</v>
      </c>
      <c r="AE170" s="4" t="b">
        <f>IF(VLOOKUP(Table2[[#This Row],[Home Team]],division_lookup,2,FALSE)=VLOOKUP(Table2[[#This Row],[Away Team]],division_lookup,2,FALSE),TRUE, FALSE)</f>
        <v>0</v>
      </c>
    </row>
    <row r="171" spans="1:31" x14ac:dyDescent="0.25">
      <c r="A171">
        <v>12</v>
      </c>
      <c r="B171" t="s">
        <v>22</v>
      </c>
      <c r="C171" t="s">
        <v>31</v>
      </c>
      <c r="F171" s="6">
        <f>VLOOKUP(Table2[[#This Row],[Home Team]],home_lookup,3,FALSE)+VLOOKUP(Table2[[#This Row],[Home Team]],off_pts_lookup,7,FALSE)+VLOOKUP(Table2[[#This Row],[Away Team]],def_diff_lookup,14,FALSE)</f>
        <v>36.391552914198215</v>
      </c>
      <c r="G171" s="6">
        <f>VLOOKUP(Table2[[#This Row],[Away Team]],off_pts_lookup,7,FALSE)+VLOOKUP(Table2[[#This Row],[Home Team]],def_diff_lookup,14,FALSE)</f>
        <v>19.127746212121213</v>
      </c>
      <c r="H171" s="6">
        <f>VLOOKUP(Table2[[#This Row],[Home Team]],pace_lookup,5,FALSE)</f>
        <v>56.9</v>
      </c>
      <c r="I171" s="6">
        <f>VLOOKUP(Table2[[#This Row],[Away Team]],pace_lookup,5,FALSE)</f>
        <v>63</v>
      </c>
      <c r="J171" s="18"/>
      <c r="K171" s="6">
        <v>45.5</v>
      </c>
      <c r="L171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71" s="3"/>
      <c r="N171" s="33">
        <f>Table2[[#This Row],[Home EV]]+Table2[[#This Row],[Away EV]]</f>
        <v>55.519299126319424</v>
      </c>
      <c r="O171" s="18"/>
      <c r="P171" s="33">
        <v>-7.5</v>
      </c>
      <c r="Q171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1" s="3"/>
      <c r="S171" s="33">
        <f>-home-VLOOKUP(B171,lookup,2,FALSE)+VLOOKUP(C171,lookup,2,FALSE)</f>
        <v>-12.206250000000001</v>
      </c>
      <c r="T171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1" s="33"/>
      <c r="V171" s="33">
        <f>-VLOOKUP(Table2[[#This Row],[Home Team]],home_lookup,3,FALSE)-VLOOKUP(B171,lookup,2,FALSE)+VLOOKUP(C171,lookup,2,FALSE)</f>
        <v>-15.463806702077008</v>
      </c>
      <c r="Y171" s="1">
        <f t="shared" si="22"/>
        <v>15.463806702077008</v>
      </c>
      <c r="Z171" s="42">
        <f>Table2[[#This Row],[ERR (B)]]^2</f>
        <v>239.12931771920179</v>
      </c>
      <c r="AA171" s="18">
        <f>Table2[[#This Row],[Pace (H)]]-Table2[[#This Row],[Pace (A)]]</f>
        <v>-6.1000000000000014</v>
      </c>
      <c r="AB171" s="19">
        <f>Table2[[#This Row],[Total EV]]-Table2[[#Totals],[Total EV]]</f>
        <v>6.6475893148317979</v>
      </c>
      <c r="AC171" s="19">
        <f>Table2[[#This Row],[Total EV]]-Table2[[#This Row],[Total (V)]]</f>
        <v>10.019299126319424</v>
      </c>
      <c r="AD171" s="3">
        <f>Table2[[#This Row],[Margin (V)]]-Table2[[#This Row],[EV (A)]]</f>
        <v>4.7062500000000007</v>
      </c>
      <c r="AE171" s="4" t="b">
        <f>IF(VLOOKUP(Table2[[#This Row],[Home Team]],division_lookup,2,FALSE)=VLOOKUP(Table2[[#This Row],[Away Team]],division_lookup,2,FALSE),TRUE, FALSE)</f>
        <v>0</v>
      </c>
    </row>
    <row r="172" spans="1:31" x14ac:dyDescent="0.25">
      <c r="A172">
        <v>12</v>
      </c>
      <c r="B172" t="s">
        <v>5</v>
      </c>
      <c r="C172" t="s">
        <v>7</v>
      </c>
      <c r="F172" s="6">
        <f>VLOOKUP(Table2[[#This Row],[Home Team]],home_lookup,3,FALSE)+VLOOKUP(Table2[[#This Row],[Home Team]],off_pts_lookup,7,FALSE)+VLOOKUP(Table2[[#This Row],[Away Team]],def_diff_lookup,14,FALSE)</f>
        <v>25.68854998271603</v>
      </c>
      <c r="G172" s="6">
        <f>VLOOKUP(Table2[[#This Row],[Away Team]],off_pts_lookup,7,FALSE)+VLOOKUP(Table2[[#This Row],[Home Team]],def_diff_lookup,14,FALSE)</f>
        <v>15.727746212121215</v>
      </c>
      <c r="H172" s="6">
        <f>VLOOKUP(Table2[[#This Row],[Home Team]],pace_lookup,5,FALSE)</f>
        <v>67.400000000000006</v>
      </c>
      <c r="I172" s="6">
        <f>VLOOKUP(Table2[[#This Row],[Away Team]],pace_lookup,5,FALSE)</f>
        <v>65.900000000000006</v>
      </c>
      <c r="J172" s="18"/>
      <c r="K172" s="6">
        <v>41.5</v>
      </c>
      <c r="L172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72" s="3"/>
      <c r="N172" s="33">
        <f>Table2[[#This Row],[Home EV]]+Table2[[#This Row],[Away EV]]</f>
        <v>41.416296194837244</v>
      </c>
      <c r="O172" s="18"/>
      <c r="P172" s="33">
        <v>-4</v>
      </c>
      <c r="Q172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1</v>
      </c>
      <c r="R172" s="3"/>
      <c r="S172" s="33">
        <f>-home-VLOOKUP(B172,lookup,2,FALSE)+VLOOKUP(C172,lookup,2,FALSE)</f>
        <v>-3.6062500000000002</v>
      </c>
      <c r="T172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2" s="33"/>
      <c r="V172" s="33">
        <f>-VLOOKUP(Table2[[#This Row],[Home Team]],home_lookup,3,FALSE)-VLOOKUP(B172,lookup,2,FALSE)+VLOOKUP(C172,lookup,2,FALSE)</f>
        <v>-6.7608037705948156</v>
      </c>
      <c r="Y172" s="1">
        <f t="shared" si="22"/>
        <v>6.7608037705948156</v>
      </c>
      <c r="Z172" s="42">
        <f>Table2[[#This Row],[ERR (B)]]^2</f>
        <v>45.708467624489074</v>
      </c>
      <c r="AA172" s="18">
        <f>Table2[[#This Row],[Pace (H)]]-Table2[[#This Row],[Pace (A)]]</f>
        <v>1.5</v>
      </c>
      <c r="AB172" s="19">
        <f>Table2[[#This Row],[Total EV]]-Table2[[#Totals],[Total EV]]</f>
        <v>-7.4554136166503824</v>
      </c>
      <c r="AC172" s="19">
        <f>Table2[[#This Row],[Total EV]]-Table2[[#This Row],[Total (V)]]</f>
        <v>-8.3703805162755884E-2</v>
      </c>
      <c r="AD172" s="3">
        <f>Table2[[#This Row],[Margin (V)]]-Table2[[#This Row],[EV (A)]]</f>
        <v>-0.39374999999999982</v>
      </c>
      <c r="AE172" s="4" t="b">
        <f>IF(VLOOKUP(Table2[[#This Row],[Home Team]],division_lookup,2,FALSE)=VLOOKUP(Table2[[#This Row],[Away Team]],division_lookup,2,FALSE),TRUE, FALSE)</f>
        <v>1</v>
      </c>
    </row>
    <row r="173" spans="1:31" x14ac:dyDescent="0.25">
      <c r="A173">
        <v>12</v>
      </c>
      <c r="B173" t="s">
        <v>10</v>
      </c>
      <c r="C173" t="s">
        <v>12</v>
      </c>
      <c r="F173" s="6">
        <f>VLOOKUP(Table2[[#This Row],[Home Team]],home_lookup,3,FALSE)+VLOOKUP(Table2[[#This Row],[Home Team]],off_pts_lookup,7,FALSE)+VLOOKUP(Table2[[#This Row],[Away Team]],def_diff_lookup,14,FALSE)</f>
        <v>25.456745113923148</v>
      </c>
      <c r="G173" s="6">
        <f>VLOOKUP(Table2[[#This Row],[Away Team]],off_pts_lookup,7,FALSE)+VLOOKUP(Table2[[#This Row],[Home Team]],def_diff_lookup,14,FALSE)</f>
        <v>26.373200757575752</v>
      </c>
      <c r="H173" s="6">
        <f>VLOOKUP(Table2[[#This Row],[Home Team]],pace_lookup,5,FALSE)</f>
        <v>59.3</v>
      </c>
      <c r="I173" s="6">
        <f>VLOOKUP(Table2[[#This Row],[Away Team]],pace_lookup,5,FALSE)</f>
        <v>63.909090909090907</v>
      </c>
      <c r="J173" s="18"/>
      <c r="K173" s="6">
        <v>44.5</v>
      </c>
      <c r="L173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73" s="3"/>
      <c r="N173" s="33">
        <f>Table2[[#This Row],[Home EV]]+Table2[[#This Row],[Away EV]]</f>
        <v>51.8299458714989</v>
      </c>
      <c r="O173" s="18"/>
      <c r="P173" s="33">
        <v>2</v>
      </c>
      <c r="Q173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3" s="3"/>
      <c r="S173" s="33">
        <f>-home-VLOOKUP(B173,lookup,2,FALSE)+VLOOKUP(C173,lookup,2,FALSE)</f>
        <v>4.09375</v>
      </c>
      <c r="T173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3" s="33"/>
      <c r="V173" s="33">
        <f>-VLOOKUP(Table2[[#This Row],[Home Team]],home_lookup,3,FALSE)-VLOOKUP(B173,lookup,2,FALSE)+VLOOKUP(C173,lookup,2,FALSE)</f>
        <v>-0.62899890180193507</v>
      </c>
      <c r="Y173" s="1">
        <f t="shared" si="22"/>
        <v>0.62899890180193507</v>
      </c>
      <c r="Z173" s="42">
        <f>Table2[[#This Row],[ERR (B)]]^2</f>
        <v>0.39563961846804035</v>
      </c>
      <c r="AA173" s="18">
        <f>Table2[[#This Row],[Pace (H)]]-Table2[[#This Row],[Pace (A)]]</f>
        <v>-4.6090909090909093</v>
      </c>
      <c r="AB173" s="19">
        <f>Table2[[#This Row],[Total EV]]-Table2[[#Totals],[Total EV]]</f>
        <v>2.9582360600112736</v>
      </c>
      <c r="AC173" s="19">
        <f>Table2[[#This Row],[Total EV]]-Table2[[#This Row],[Total (V)]]</f>
        <v>7.3299458714989001</v>
      </c>
      <c r="AD173" s="3">
        <f>Table2[[#This Row],[Margin (V)]]-Table2[[#This Row],[EV (A)]]</f>
        <v>-2.09375</v>
      </c>
      <c r="AE173" s="4" t="b">
        <f>IF(VLOOKUP(Table2[[#This Row],[Home Team]],division_lookup,2,FALSE)=VLOOKUP(Table2[[#This Row],[Away Team]],division_lookup,2,FALSE),TRUE, FALSE)</f>
        <v>0</v>
      </c>
    </row>
    <row r="174" spans="1:31" x14ac:dyDescent="0.25">
      <c r="A174">
        <v>12</v>
      </c>
      <c r="B174" t="s">
        <v>19</v>
      </c>
      <c r="C174" t="s">
        <v>21</v>
      </c>
      <c r="F174" s="6">
        <f>VLOOKUP(Table2[[#This Row],[Home Team]],home_lookup,3,FALSE)+VLOOKUP(Table2[[#This Row],[Home Team]],off_pts_lookup,7,FALSE)+VLOOKUP(Table2[[#This Row],[Away Team]],def_diff_lookup,14,FALSE)</f>
        <v>15.902624307599954</v>
      </c>
      <c r="G174" s="6">
        <f>VLOOKUP(Table2[[#This Row],[Away Team]],off_pts_lookup,7,FALSE)+VLOOKUP(Table2[[#This Row],[Home Team]],def_diff_lookup,14,FALSE)</f>
        <v>24.92774621212121</v>
      </c>
      <c r="H174" s="6">
        <f>VLOOKUP(Table2[[#This Row],[Home Team]],pace_lookup,5,FALSE)</f>
        <v>69.900000000000006</v>
      </c>
      <c r="I174" s="6">
        <f>VLOOKUP(Table2[[#This Row],[Away Team]],pace_lookup,5,FALSE)</f>
        <v>61.1</v>
      </c>
      <c r="J174" s="18"/>
      <c r="K174" s="6">
        <v>44.5</v>
      </c>
      <c r="L174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74" s="3"/>
      <c r="N174" s="33">
        <f>Table2[[#This Row],[Home EV]]+Table2[[#This Row],[Away EV]]</f>
        <v>40.830370519721164</v>
      </c>
      <c r="O174" s="18"/>
      <c r="P174" s="33">
        <v>5</v>
      </c>
      <c r="Q174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1</v>
      </c>
      <c r="R174" s="3"/>
      <c r="S174" s="33">
        <f>-home-VLOOKUP(B174,lookup,2,FALSE)+VLOOKUP(C174,lookup,2,FALSE)</f>
        <v>4.7937499999999993</v>
      </c>
      <c r="T174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4" s="33"/>
      <c r="V174" s="33">
        <f>-VLOOKUP(Table2[[#This Row],[Home Team]],home_lookup,3,FALSE)-VLOOKUP(B174,lookup,2,FALSE)+VLOOKUP(C174,lookup,2,FALSE)</f>
        <v>8.2251219045212558</v>
      </c>
      <c r="Y174" s="1">
        <f t="shared" si="22"/>
        <v>-8.2251219045212558</v>
      </c>
      <c r="Z174" s="42">
        <f>Table2[[#This Row],[ERR (B)]]^2</f>
        <v>67.652630344235376</v>
      </c>
      <c r="AA174" s="18">
        <f>Table2[[#This Row],[Pace (H)]]-Table2[[#This Row],[Pace (A)]]</f>
        <v>8.8000000000000043</v>
      </c>
      <c r="AB174" s="19">
        <f>Table2[[#This Row],[Total EV]]-Table2[[#Totals],[Total EV]]</f>
        <v>-8.0413392917664623</v>
      </c>
      <c r="AC174" s="19">
        <f>Table2[[#This Row],[Total EV]]-Table2[[#This Row],[Total (V)]]</f>
        <v>-3.6696294802788358</v>
      </c>
      <c r="AD174" s="3">
        <f>Table2[[#This Row],[Margin (V)]]-Table2[[#This Row],[EV (A)]]</f>
        <v>0.20625000000000071</v>
      </c>
      <c r="AE174" s="4" t="b">
        <f>IF(VLOOKUP(Table2[[#This Row],[Home Team]],division_lookup,2,FALSE)=VLOOKUP(Table2[[#This Row],[Away Team]],division_lookup,2,FALSE),TRUE, FALSE)</f>
        <v>0</v>
      </c>
    </row>
    <row r="175" spans="1:31" x14ac:dyDescent="0.25">
      <c r="A175">
        <v>12</v>
      </c>
      <c r="B175" t="s">
        <v>1</v>
      </c>
      <c r="C175" t="s">
        <v>17</v>
      </c>
      <c r="F175" s="6">
        <f>VLOOKUP(Table2[[#This Row],[Home Team]],home_lookup,3,FALSE)+VLOOKUP(Table2[[#This Row],[Home Team]],off_pts_lookup,7,FALSE)+VLOOKUP(Table2[[#This Row],[Away Team]],def_diff_lookup,14,FALSE)</f>
        <v>21.387786374219417</v>
      </c>
      <c r="G175" s="6">
        <f>VLOOKUP(Table2[[#This Row],[Away Team]],off_pts_lookup,7,FALSE)+VLOOKUP(Table2[[#This Row],[Home Team]],def_diff_lookup,14,FALSE)</f>
        <v>18.227746212121207</v>
      </c>
      <c r="H175" s="6">
        <f>VLOOKUP(Table2[[#This Row],[Home Team]],pace_lookup,5,FALSE)</f>
        <v>64</v>
      </c>
      <c r="I175" s="6">
        <f>VLOOKUP(Table2[[#This Row],[Away Team]],pace_lookup,5,FALSE)</f>
        <v>62.1</v>
      </c>
      <c r="J175" s="18"/>
      <c r="K175" s="6">
        <v>40</v>
      </c>
      <c r="L175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75" s="3"/>
      <c r="N175" s="33">
        <f>Table2[[#This Row],[Home EV]]+Table2[[#This Row],[Away EV]]</f>
        <v>39.61553258634062</v>
      </c>
      <c r="O175" s="18"/>
      <c r="P175" s="33">
        <v>-3.5</v>
      </c>
      <c r="Q175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5" s="3"/>
      <c r="S175" s="33">
        <f>-home-VLOOKUP(B175,lookup,2,FALSE)+VLOOKUP(C175,lookup,2,FALSE)</f>
        <v>-5.2062500000000007</v>
      </c>
      <c r="T175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5" s="33"/>
      <c r="V175" s="33">
        <f>-VLOOKUP(Table2[[#This Row],[Home Team]],home_lookup,3,FALSE)-VLOOKUP(B175,lookup,2,FALSE)+VLOOKUP(C175,lookup,2,FALSE)</f>
        <v>-3.9600401620982111</v>
      </c>
      <c r="Y175" s="1">
        <f t="shared" si="22"/>
        <v>3.9600401620982111</v>
      </c>
      <c r="Z175" s="42">
        <f>Table2[[#This Row],[ERR (B)]]^2</f>
        <v>15.681918085430826</v>
      </c>
      <c r="AA175" s="18">
        <f>Table2[[#This Row],[Pace (H)]]-Table2[[#This Row],[Pace (A)]]</f>
        <v>1.8999999999999986</v>
      </c>
      <c r="AB175" s="19">
        <f>Table2[[#This Row],[Total EV]]-Table2[[#Totals],[Total EV]]</f>
        <v>-9.256177225147006</v>
      </c>
      <c r="AC175" s="19">
        <f>Table2[[#This Row],[Total EV]]-Table2[[#This Row],[Total (V)]]</f>
        <v>-0.38446741365937953</v>
      </c>
      <c r="AD175" s="3">
        <f>Table2[[#This Row],[Margin (V)]]-Table2[[#This Row],[EV (A)]]</f>
        <v>1.7062500000000007</v>
      </c>
      <c r="AE175" s="4" t="b">
        <f>IF(VLOOKUP(Table2[[#This Row],[Home Team]],division_lookup,2,FALSE)=VLOOKUP(Table2[[#This Row],[Away Team]],division_lookup,2,FALSE),TRUE, FALSE)</f>
        <v>1</v>
      </c>
    </row>
    <row r="176" spans="1:31" x14ac:dyDescent="0.25">
      <c r="A176">
        <v>12</v>
      </c>
      <c r="B176" t="s">
        <v>15</v>
      </c>
      <c r="C176" t="s">
        <v>2</v>
      </c>
      <c r="F176" s="6">
        <f>VLOOKUP(Table2[[#This Row],[Home Team]],home_lookup,3,FALSE)+VLOOKUP(Table2[[#This Row],[Home Team]],off_pts_lookup,7,FALSE)+VLOOKUP(Table2[[#This Row],[Away Team]],def_diff_lookup,14,FALSE)</f>
        <v>27.377082137443665</v>
      </c>
      <c r="G176" s="6">
        <f>VLOOKUP(Table2[[#This Row],[Away Team]],off_pts_lookup,7,FALSE)+VLOOKUP(Table2[[#This Row],[Home Team]],def_diff_lookup,14,FALSE)</f>
        <v>26.305523989898987</v>
      </c>
      <c r="H176" s="6">
        <f>VLOOKUP(Table2[[#This Row],[Home Team]],pace_lookup,5,FALSE)</f>
        <v>67</v>
      </c>
      <c r="I176" s="6">
        <f>VLOOKUP(Table2[[#This Row],[Away Team]],pace_lookup,5,FALSE)</f>
        <v>66.8</v>
      </c>
      <c r="J176" s="18"/>
      <c r="K176" s="6"/>
      <c r="L176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76" s="3"/>
      <c r="N176" s="33">
        <f>Table2[[#This Row],[Home EV]]+Table2[[#This Row],[Away EV]]</f>
        <v>53.682606127342652</v>
      </c>
      <c r="O176" s="18"/>
      <c r="P176" s="33"/>
      <c r="Q176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6" s="3"/>
      <c r="S176" s="33">
        <f>-home-VLOOKUP(B176,lookup,2,FALSE)+VLOOKUP(C176,lookup,2,FALSE)</f>
        <v>-6.40625</v>
      </c>
      <c r="T176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76" s="33"/>
      <c r="V176" s="33">
        <f>-VLOOKUP(Table2[[#This Row],[Home Team]],home_lookup,3,FALSE)-VLOOKUP(B176,lookup,2,FALSE)+VLOOKUP(C176,lookup,2,FALSE)</f>
        <v>-1.9271137031002326</v>
      </c>
      <c r="Y176" s="1">
        <f t="shared" si="22"/>
        <v>1.9271137031002326</v>
      </c>
      <c r="Z176" s="42">
        <f>Table2[[#This Row],[ERR (B)]]^2</f>
        <v>3.7137672246766913</v>
      </c>
      <c r="AA176" s="18">
        <f>Table2[[#This Row],[Pace (H)]]-Table2[[#This Row],[Pace (A)]]</f>
        <v>0.20000000000000284</v>
      </c>
      <c r="AB176" s="19">
        <f>Table2[[#This Row],[Total EV]]-Table2[[#Totals],[Total EV]]</f>
        <v>4.8108963158550253</v>
      </c>
      <c r="AC176" s="19">
        <f>Table2[[#This Row],[Total EV]]-Table2[[#This Row],[Total (V)]]</f>
        <v>53.682606127342652</v>
      </c>
      <c r="AD176" s="3">
        <f>Table2[[#This Row],[Margin (V)]]-Table2[[#This Row],[EV (A)]]</f>
        <v>6.40625</v>
      </c>
      <c r="AE176" s="4" t="b">
        <f>IF(VLOOKUP(Table2[[#This Row],[Home Team]],division_lookup,2,FALSE)=VLOOKUP(Table2[[#This Row],[Away Team]],division_lookup,2,FALSE),TRUE, FALSE)</f>
        <v>0</v>
      </c>
    </row>
    <row r="177" spans="1:31" x14ac:dyDescent="0.25">
      <c r="A177">
        <v>12</v>
      </c>
      <c r="B177" t="s">
        <v>8</v>
      </c>
      <c r="C177" t="s">
        <v>27</v>
      </c>
      <c r="F177" s="6">
        <f>VLOOKUP(Table2[[#This Row],[Home Team]],home_lookup,3,FALSE)+VLOOKUP(Table2[[#This Row],[Home Team]],off_pts_lookup,7,FALSE)+VLOOKUP(Table2[[#This Row],[Away Team]],def_diff_lookup,14,FALSE)</f>
        <v>17.156807586320138</v>
      </c>
      <c r="G177" s="6">
        <f>VLOOKUP(Table2[[#This Row],[Away Team]],off_pts_lookup,7,FALSE)+VLOOKUP(Table2[[#This Row],[Home Team]],def_diff_lookup,14,FALSE)</f>
        <v>28.627746212121213</v>
      </c>
      <c r="H177" s="6">
        <f>VLOOKUP(Table2[[#This Row],[Home Team]],pace_lookup,5,FALSE)</f>
        <v>62.6</v>
      </c>
      <c r="I177" s="6">
        <f>VLOOKUP(Table2[[#This Row],[Away Team]],pace_lookup,5,FALSE)</f>
        <v>63.9</v>
      </c>
      <c r="J177" s="18"/>
      <c r="K177" s="6">
        <v>47</v>
      </c>
      <c r="L177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1</v>
      </c>
      <c r="M177" s="3"/>
      <c r="N177" s="33">
        <f>Table2[[#This Row],[Home EV]]+Table2[[#This Row],[Away EV]]</f>
        <v>45.784553798441351</v>
      </c>
      <c r="O177" s="18"/>
      <c r="P177" s="33">
        <v>9</v>
      </c>
      <c r="Q177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7" s="3"/>
      <c r="S177" s="33">
        <f>-home-VLOOKUP(B177,lookup,2,FALSE)+VLOOKUP(C177,lookup,2,FALSE)</f>
        <v>11.793750000000001</v>
      </c>
      <c r="T177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1</v>
      </c>
      <c r="U177" s="33"/>
      <c r="V177" s="33">
        <f>-VLOOKUP(Table2[[#This Row],[Home Team]],home_lookup,3,FALSE)-VLOOKUP(B177,lookup,2,FALSE)+VLOOKUP(C177,lookup,2,FALSE)</f>
        <v>10.570938625801077</v>
      </c>
      <c r="Y177" s="1">
        <f t="shared" si="22"/>
        <v>-10.570938625801077</v>
      </c>
      <c r="Z177" s="42">
        <f>Table2[[#This Row],[ERR (B)]]^2</f>
        <v>111.74474343045316</v>
      </c>
      <c r="AA177" s="18">
        <f>Table2[[#This Row],[Pace (H)]]-Table2[[#This Row],[Pace (A)]]</f>
        <v>-1.2999999999999972</v>
      </c>
      <c r="AB177" s="19">
        <f>Table2[[#This Row],[Total EV]]-Table2[[#Totals],[Total EV]]</f>
        <v>-3.0871560130462754</v>
      </c>
      <c r="AC177" s="19">
        <f>Table2[[#This Row],[Total EV]]-Table2[[#This Row],[Total (V)]]</f>
        <v>-1.2154462015586489</v>
      </c>
      <c r="AD177" s="3">
        <f>Table2[[#This Row],[Margin (V)]]-Table2[[#This Row],[EV (A)]]</f>
        <v>-2.7937500000000011</v>
      </c>
      <c r="AE177" s="4" t="b">
        <f>IF(VLOOKUP(Table2[[#This Row],[Home Team]],division_lookup,2,FALSE)=VLOOKUP(Table2[[#This Row],[Away Team]],division_lookup,2,FALSE),TRUE, FALSE)</f>
        <v>1</v>
      </c>
    </row>
    <row r="178" spans="1:31" x14ac:dyDescent="0.25">
      <c r="A178">
        <v>12</v>
      </c>
      <c r="B178" t="s">
        <v>13</v>
      </c>
      <c r="C178" t="s">
        <v>3</v>
      </c>
      <c r="F178" s="6">
        <f>VLOOKUP(Table2[[#This Row],[Home Team]],home_lookup,3,FALSE)+VLOOKUP(Table2[[#This Row],[Home Team]],off_pts_lookup,7,FALSE)+VLOOKUP(Table2[[#This Row],[Away Team]],def_diff_lookup,14,FALSE)</f>
        <v>38.706267554652726</v>
      </c>
      <c r="G178" s="6">
        <f>VLOOKUP(Table2[[#This Row],[Away Team]],off_pts_lookup,7,FALSE)+VLOOKUP(Table2[[#This Row],[Home Team]],def_diff_lookup,14,FALSE)</f>
        <v>20.42774621212121</v>
      </c>
      <c r="H178" s="6">
        <f>VLOOKUP(Table2[[#This Row],[Home Team]],pace_lookup,5,FALSE)</f>
        <v>65.5</v>
      </c>
      <c r="I178" s="6">
        <f>VLOOKUP(Table2[[#This Row],[Away Team]],pace_lookup,5,FALSE)</f>
        <v>66.2</v>
      </c>
      <c r="J178" s="18"/>
      <c r="K178" s="6"/>
      <c r="L178" s="3">
        <f>IF(OR(AND(Table2[[#This Row],[Total EV]]&lt;Table2[[#This Row],[Total (V)]],Table2[[#This Row],[Total]]&lt;Table2[[#This Row],[Total (V)]]),AND(Table2[[#This Row],[Total]]&gt;Table2[[#This Row],[Total (V)]],Table2[[#This Row],[Total EV]]&gt;Table2[[#This Row],[Total (V)]],Table2[[#This Row],[Total]]&gt;Table2[[#This Row],[Total (V)]])),1,0)</f>
        <v>0</v>
      </c>
      <c r="M178" s="3"/>
      <c r="N178" s="33">
        <f>Table2[[#This Row],[Home EV]]+Table2[[#This Row],[Away EV]]</f>
        <v>59.134013766773933</v>
      </c>
      <c r="O178" s="18"/>
      <c r="P178" s="33"/>
      <c r="Q178" s="3">
        <f>IF(OR(AND(Table2[[#This Row],[EV (A)]]&lt;Table2[[#This Row],[Margin (V)]],Table2[[#This Row],[Margin]]&lt;Table2[[#This Row],[Margin (V)]]),AND(Table2[[#This Row],[EV (A)]]&gt;Table2[[#This Row],[Margin (V)]],Table2[[#This Row],[Margin]]&gt;Table2[[#This Row],[Margin (V)]])),1,0)</f>
        <v>0</v>
      </c>
      <c r="R178" s="3"/>
      <c r="S178" s="33">
        <f>-home-VLOOKUP(B178,lookup,2,FALSE)+VLOOKUP(C178,lookup,2,FALSE)</f>
        <v>-12.806249999999999</v>
      </c>
      <c r="T178" s="33">
        <f>IF(OR(AND(Table2[[#This Row],[Real EV (B)]]&lt;Table2[[#This Row],[Margin (V)]],Table2[[#This Row],[Margin]]&lt;Table2[[#This Row],[Margin (V)]]),AND(Table2[[#This Row],[Real EV (B)]]&gt;Table2[[#This Row],[Margin (V)]],Table2[[#This Row],[Margin]]&gt;Table2[[#This Row],[Margin (V)]])),1,0)</f>
        <v>0</v>
      </c>
      <c r="U178" s="33"/>
      <c r="V178" s="33">
        <f>-VLOOKUP(Table2[[#This Row],[Home Team]],home_lookup,3,FALSE)-VLOOKUP(B178,lookup,2,FALSE)+VLOOKUP(C178,lookup,2,FALSE)</f>
        <v>-19.778521342531512</v>
      </c>
      <c r="Y178" s="1">
        <f t="shared" si="22"/>
        <v>19.778521342531512</v>
      </c>
      <c r="Z178" s="42">
        <f>Table2[[#This Row],[ERR (B)]]^2</f>
        <v>391.18990649697452</v>
      </c>
      <c r="AA178" s="18">
        <f>Table2[[#This Row],[Pace (H)]]-Table2[[#This Row],[Pace (A)]]</f>
        <v>-0.70000000000000284</v>
      </c>
      <c r="AB178" s="19">
        <f>Table2[[#This Row],[Total EV]]-Table2[[#Totals],[Total EV]]</f>
        <v>10.262303955286306</v>
      </c>
      <c r="AC178" s="19">
        <f>Table2[[#This Row],[Total EV]]-Table2[[#This Row],[Total (V)]]</f>
        <v>59.134013766773933</v>
      </c>
      <c r="AD178" s="3">
        <f>Table2[[#This Row],[Margin (V)]]-Table2[[#This Row],[EV (A)]]</f>
        <v>12.806249999999999</v>
      </c>
      <c r="AE178" s="4" t="b">
        <f>IF(VLOOKUP(Table2[[#This Row],[Home Team]],division_lookup,2,FALSE)=VLOOKUP(Table2[[#This Row],[Away Team]],division_lookup,2,FALSE),TRUE, FALSE)</f>
        <v>0</v>
      </c>
    </row>
    <row r="179" spans="1:31" x14ac:dyDescent="0.25">
      <c r="A179" t="s">
        <v>41</v>
      </c>
      <c r="D179" s="3">
        <f>SUBTOTAL(101,Table2[Home Pts])</f>
        <v>24.4</v>
      </c>
      <c r="E179" s="3">
        <f>SUBTOTAL(101,Table2[Away Pts])</f>
        <v>21.493749999999999</v>
      </c>
      <c r="F179" s="3">
        <f>SUBTOTAL(101,Table2[Home EV])</f>
        <v>25.902920399001175</v>
      </c>
      <c r="G179" s="3">
        <f>SUBTOTAL(101,Table2[Away EV])</f>
        <v>22.96878941248643</v>
      </c>
      <c r="H179" s="3">
        <f>SUBTOTAL(101,Table2[Pace (H)])</f>
        <v>64.33935969868169</v>
      </c>
      <c r="I179" s="28">
        <f>SUBTOTAL(101,Table2[Pace (A)])</f>
        <v>64.177338355304414</v>
      </c>
      <c r="J179" s="33">
        <f>SUBTOTAL(101,Table2[Total])</f>
        <v>45.608695652173914</v>
      </c>
      <c r="K179" s="33">
        <f>SUBTOTAL(101,Table2[Total (V)])</f>
        <v>45.864161849710982</v>
      </c>
      <c r="L179" s="37">
        <f>SUM(L2:L178)/COUNT(L2:L178)</f>
        <v>0.46666666666666667</v>
      </c>
      <c r="M179" s="3">
        <f>SUBTOTAL(101,Table2[Real Total])</f>
        <v>48.035714285714285</v>
      </c>
      <c r="N179" s="28">
        <f>SUBTOTAL(101,Table2[Total EV])</f>
        <v>48.871709811487626</v>
      </c>
      <c r="O179" s="3">
        <f>SUBTOTAL(101,Table2[Margin])</f>
        <v>-2.8881987577639752</v>
      </c>
      <c r="P179" s="3">
        <f>SUBTOTAL(101,Table2[Margin (V)])</f>
        <v>-2.0404624277456649</v>
      </c>
      <c r="Q179" s="37">
        <f>SUM(Table2[(A) Win])/COUNT(Table2[(A) Win])</f>
        <v>0.42236024844720499</v>
      </c>
      <c r="S179" s="3">
        <f>SUBTOTAL(101,Table2[EV (A)])</f>
        <v>-2.7976694915254239</v>
      </c>
      <c r="T179" s="37">
        <f>SUM(Table2[EV Win])/COUNT(Table2[EV Win])</f>
        <v>0.66666666666666663</v>
      </c>
      <c r="V179" s="3">
        <f>SUBTOTAL(101,Table2[EV (B)])</f>
        <v>-2.8717329953031929</v>
      </c>
      <c r="AB179" s="13"/>
      <c r="AC179" s="13"/>
    </row>
  </sheetData>
  <conditionalFormatting sqref="AA2:AC17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1048576 AD1:A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:AE178">
    <cfRule type="cellIs" dxfId="23" priority="1" operator="equal">
      <formula>FALSE</formula>
    </cfRule>
    <cfRule type="cellIs" dxfId="22" priority="2" operator="equal">
      <formula>TRUE</formula>
    </cfRule>
  </conditionalFormatting>
  <pageMargins left="0.7" right="0.7" top="0.75" bottom="0.75" header="0.3" footer="0.3"/>
  <ignoredErrors>
    <ignoredError sqref="Q157 Q18 Q19:Q156 Q158:Q162" calculatedColum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3"/>
  <sheetViews>
    <sheetView workbookViewId="0">
      <selection activeCell="B25" sqref="B25"/>
    </sheetView>
  </sheetViews>
  <sheetFormatPr defaultRowHeight="15" x14ac:dyDescent="0.25"/>
  <cols>
    <col min="1" max="1" width="21.140625" bestFit="1" customWidth="1"/>
    <col min="2" max="2" width="10.42578125" bestFit="1" customWidth="1"/>
  </cols>
  <sheetData>
    <row r="1" spans="1:2" x14ac:dyDescent="0.25">
      <c r="A1" t="s">
        <v>35</v>
      </c>
      <c r="B1" t="s">
        <v>111</v>
      </c>
    </row>
    <row r="2" spans="1:2" x14ac:dyDescent="0.25">
      <c r="A2" t="s">
        <v>26</v>
      </c>
      <c r="B2" t="s">
        <v>112</v>
      </c>
    </row>
    <row r="3" spans="1:2" x14ac:dyDescent="0.25">
      <c r="A3" t="s">
        <v>27</v>
      </c>
      <c r="B3" t="s">
        <v>113</v>
      </c>
    </row>
    <row r="4" spans="1:2" x14ac:dyDescent="0.25">
      <c r="A4" t="s">
        <v>13</v>
      </c>
      <c r="B4" t="s">
        <v>112</v>
      </c>
    </row>
    <row r="5" spans="1:2" x14ac:dyDescent="0.25">
      <c r="A5" t="s">
        <v>1</v>
      </c>
      <c r="B5" t="s">
        <v>114</v>
      </c>
    </row>
    <row r="6" spans="1:2" x14ac:dyDescent="0.25">
      <c r="A6" t="s">
        <v>28</v>
      </c>
      <c r="B6" t="s">
        <v>115</v>
      </c>
    </row>
    <row r="7" spans="1:2" x14ac:dyDescent="0.25">
      <c r="A7" t="s">
        <v>17</v>
      </c>
      <c r="B7" t="s">
        <v>114</v>
      </c>
    </row>
    <row r="8" spans="1:2" x14ac:dyDescent="0.25">
      <c r="A8" t="s">
        <v>21</v>
      </c>
      <c r="B8" t="s">
        <v>115</v>
      </c>
    </row>
    <row r="9" spans="1:2" x14ac:dyDescent="0.25">
      <c r="A9" t="s">
        <v>6</v>
      </c>
      <c r="B9" t="s">
        <v>113</v>
      </c>
    </row>
    <row r="10" spans="1:2" x14ac:dyDescent="0.25">
      <c r="A10" t="s">
        <v>20</v>
      </c>
      <c r="B10" t="s">
        <v>116</v>
      </c>
    </row>
    <row r="11" spans="1:2" x14ac:dyDescent="0.25">
      <c r="A11" t="s">
        <v>11</v>
      </c>
      <c r="B11" t="s">
        <v>117</v>
      </c>
    </row>
    <row r="12" spans="1:2" x14ac:dyDescent="0.25">
      <c r="A12" t="s">
        <v>5</v>
      </c>
      <c r="B12" t="s">
        <v>118</v>
      </c>
    </row>
    <row r="13" spans="1:2" x14ac:dyDescent="0.25">
      <c r="A13" t="s">
        <v>15</v>
      </c>
      <c r="B13" t="s">
        <v>114</v>
      </c>
    </row>
    <row r="14" spans="1:2" x14ac:dyDescent="0.25">
      <c r="A14" t="s">
        <v>18</v>
      </c>
      <c r="B14" t="s">
        <v>114</v>
      </c>
    </row>
    <row r="15" spans="1:2" x14ac:dyDescent="0.25">
      <c r="A15" t="s">
        <v>12</v>
      </c>
      <c r="B15" t="s">
        <v>119</v>
      </c>
    </row>
    <row r="16" spans="1:2" x14ac:dyDescent="0.25">
      <c r="A16" t="s">
        <v>29</v>
      </c>
      <c r="B16" t="s">
        <v>118</v>
      </c>
    </row>
    <row r="17" spans="1:2" x14ac:dyDescent="0.25">
      <c r="A17" t="s">
        <v>30</v>
      </c>
      <c r="B17" t="s">
        <v>112</v>
      </c>
    </row>
    <row r="18" spans="1:2" x14ac:dyDescent="0.25">
      <c r="A18" t="s">
        <v>16</v>
      </c>
      <c r="B18" t="s">
        <v>116</v>
      </c>
    </row>
    <row r="19" spans="1:2" x14ac:dyDescent="0.25">
      <c r="A19" t="s">
        <v>23</v>
      </c>
      <c r="B19" t="s">
        <v>117</v>
      </c>
    </row>
    <row r="20" spans="1:2" x14ac:dyDescent="0.25">
      <c r="A20" t="s">
        <v>25</v>
      </c>
      <c r="B20" t="s">
        <v>112</v>
      </c>
    </row>
    <row r="21" spans="1:2" x14ac:dyDescent="0.25">
      <c r="A21" t="s">
        <v>22</v>
      </c>
      <c r="B21" t="s">
        <v>113</v>
      </c>
    </row>
    <row r="22" spans="1:2" x14ac:dyDescent="0.25">
      <c r="A22" t="s">
        <v>2</v>
      </c>
      <c r="B22" t="s">
        <v>116</v>
      </c>
    </row>
    <row r="23" spans="1:2" x14ac:dyDescent="0.25">
      <c r="A23" t="s">
        <v>3</v>
      </c>
      <c r="B23" t="s">
        <v>117</v>
      </c>
    </row>
    <row r="24" spans="1:2" x14ac:dyDescent="0.25">
      <c r="A24" t="s">
        <v>24</v>
      </c>
      <c r="B24" t="s">
        <v>119</v>
      </c>
    </row>
    <row r="25" spans="1:2" x14ac:dyDescent="0.25">
      <c r="A25" t="s">
        <v>7</v>
      </c>
      <c r="B25" t="s">
        <v>118</v>
      </c>
    </row>
    <row r="26" spans="1:2" x14ac:dyDescent="0.25">
      <c r="A26" t="s">
        <v>19</v>
      </c>
      <c r="B26" t="s">
        <v>116</v>
      </c>
    </row>
    <row r="27" spans="1:2" x14ac:dyDescent="0.25">
      <c r="A27" t="s">
        <v>9</v>
      </c>
      <c r="B27" t="s">
        <v>119</v>
      </c>
    </row>
    <row r="28" spans="1:2" x14ac:dyDescent="0.25">
      <c r="A28" t="s">
        <v>32</v>
      </c>
      <c r="B28" t="s">
        <v>115</v>
      </c>
    </row>
    <row r="29" spans="1:2" x14ac:dyDescent="0.25">
      <c r="A29" t="s">
        <v>8</v>
      </c>
      <c r="B29" t="s">
        <v>113</v>
      </c>
    </row>
    <row r="30" spans="1:2" x14ac:dyDescent="0.25">
      <c r="A30" t="s">
        <v>4</v>
      </c>
      <c r="B30" t="s">
        <v>119</v>
      </c>
    </row>
    <row r="31" spans="1:2" x14ac:dyDescent="0.25">
      <c r="A31" t="s">
        <v>10</v>
      </c>
      <c r="B31" t="s">
        <v>117</v>
      </c>
    </row>
    <row r="32" spans="1:2" x14ac:dyDescent="0.25">
      <c r="A32" t="s">
        <v>31</v>
      </c>
      <c r="B32" t="s">
        <v>115</v>
      </c>
    </row>
    <row r="33" spans="1:2" x14ac:dyDescent="0.25">
      <c r="A33" t="s">
        <v>14</v>
      </c>
      <c r="B33" t="s">
        <v>118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4"/>
  <sheetViews>
    <sheetView workbookViewId="0">
      <selection activeCell="Q4" sqref="Q4"/>
    </sheetView>
  </sheetViews>
  <sheetFormatPr defaultRowHeight="15" x14ac:dyDescent="0.25"/>
  <cols>
    <col min="1" max="1" width="21.140625" bestFit="1" customWidth="1"/>
    <col min="2" max="2" width="4.7109375" bestFit="1" customWidth="1"/>
    <col min="3" max="3" width="9.28515625" style="13" bestFit="1" customWidth="1"/>
    <col min="4" max="4" width="11.140625" bestFit="1" customWidth="1"/>
    <col min="5" max="5" width="12.42578125" bestFit="1" customWidth="1"/>
    <col min="6" max="6" width="11.28515625" bestFit="1" customWidth="1"/>
    <col min="7" max="7" width="11.140625" style="12" bestFit="1" customWidth="1"/>
    <col min="8" max="8" width="11.85546875" bestFit="1" customWidth="1"/>
    <col min="9" max="9" width="9.140625" style="13"/>
    <col min="10" max="10" width="11" bestFit="1" customWidth="1"/>
    <col min="11" max="11" width="13.28515625" bestFit="1" customWidth="1"/>
    <col min="12" max="12" width="11.42578125" bestFit="1" customWidth="1"/>
    <col min="13" max="13" width="11.85546875" bestFit="1" customWidth="1"/>
    <col min="14" max="14" width="10.140625" bestFit="1" customWidth="1"/>
    <col min="15" max="15" width="9.85546875" style="13" bestFit="1" customWidth="1"/>
    <col min="16" max="16" width="9.7109375" bestFit="1" customWidth="1"/>
    <col min="18" max="18" width="21.140625" bestFit="1" customWidth="1"/>
    <col min="19" max="20" width="4" bestFit="1" customWidth="1"/>
  </cols>
  <sheetData>
    <row r="1" spans="1:15" x14ac:dyDescent="0.25">
      <c r="A1" t="s">
        <v>35</v>
      </c>
      <c r="B1" t="s">
        <v>85</v>
      </c>
      <c r="C1" s="13" t="s">
        <v>72</v>
      </c>
      <c r="D1" t="s">
        <v>73</v>
      </c>
      <c r="E1" t="s">
        <v>70</v>
      </c>
      <c r="F1" t="s">
        <v>71</v>
      </c>
      <c r="G1" s="12" t="s">
        <v>78</v>
      </c>
      <c r="H1" t="s">
        <v>106</v>
      </c>
      <c r="I1" s="13" t="s">
        <v>74</v>
      </c>
      <c r="J1" t="s">
        <v>75</v>
      </c>
      <c r="K1" t="s">
        <v>76</v>
      </c>
      <c r="L1" t="s">
        <v>77</v>
      </c>
      <c r="M1" t="s">
        <v>79</v>
      </c>
      <c r="N1" t="s">
        <v>107</v>
      </c>
      <c r="O1" s="13" t="s">
        <v>80</v>
      </c>
    </row>
    <row r="2" spans="1:15" x14ac:dyDescent="0.25">
      <c r="A2" t="s">
        <v>26</v>
      </c>
      <c r="B2">
        <v>10</v>
      </c>
      <c r="C2">
        <v>285</v>
      </c>
      <c r="D2">
        <v>665</v>
      </c>
      <c r="E2" s="3">
        <f>Table5[[#This Row],[Plays (O)]]/Table5[[#This Row],[G]]</f>
        <v>66.5</v>
      </c>
      <c r="F2" s="3">
        <f>Table5[[#This Row],[Pts (O)]]/Table5[[#This Row],[Plays (O)]]</f>
        <v>0.42857142857142855</v>
      </c>
      <c r="G2" s="19">
        <f>Table5[[#This Row],[Plys/G (O)]]*Table5[[#This Row],[Pts/P (O)]]</f>
        <v>28.5</v>
      </c>
      <c r="H2" s="3">
        <f>Table5[[#This Row],[Off Pts/g]]-Table5[[#Totals],[Off Pts/g]]</f>
        <v>5.5442550505050541</v>
      </c>
      <c r="I2" s="13">
        <v>187</v>
      </c>
      <c r="J2">
        <v>600</v>
      </c>
      <c r="K2" s="3">
        <f>Table5[[#This Row],[Plays (D)]]/Table5[[#This Row],[G]]</f>
        <v>60</v>
      </c>
      <c r="L2" s="3">
        <f>Table5[[#This Row],[Pts (D)]]/Table5[[#This Row],[Plays (D)]]</f>
        <v>0.31166666666666665</v>
      </c>
      <c r="M2" s="3">
        <f>Table5[[#This Row],[Plays/G (D)]]*Table5[[#This Row],[Pts/P (D)]]</f>
        <v>18.7</v>
      </c>
      <c r="N2" s="3">
        <f>Table5[[#This Row],[Def Pts/G]]-Table5[[#Totals],[Def Pts/G]]</f>
        <v>-4.1722537878787911</v>
      </c>
      <c r="O2" s="18">
        <f>Table5[[#This Row],[Off Pts/g]]-Table5[[#This Row],[Def Pts/G]]</f>
        <v>9.8000000000000007</v>
      </c>
    </row>
    <row r="3" spans="1:15" x14ac:dyDescent="0.25">
      <c r="A3" t="s">
        <v>27</v>
      </c>
      <c r="B3">
        <v>10</v>
      </c>
      <c r="C3">
        <v>271</v>
      </c>
      <c r="D3">
        <v>639</v>
      </c>
      <c r="E3" s="3">
        <f>Table5[[#This Row],[Plays (O)]]/Table5[[#This Row],[G]]</f>
        <v>63.9</v>
      </c>
      <c r="F3" s="3">
        <f>Table5[[#This Row],[Pts (O)]]/Table5[[#This Row],[Plays (O)]]</f>
        <v>0.42410015649452271</v>
      </c>
      <c r="G3" s="19">
        <f>Table5[[#This Row],[Plys/G (O)]]*Table5[[#This Row],[Pts/P (O)]]</f>
        <v>27.1</v>
      </c>
      <c r="H3" s="3">
        <f>Table5[[#This Row],[Off Pts/g]]-Table5[[#Totals],[Off Pts/g]]</f>
        <v>4.1442550505050555</v>
      </c>
      <c r="I3" s="13">
        <v>180</v>
      </c>
      <c r="J3">
        <v>652</v>
      </c>
      <c r="K3" s="3">
        <f>Table5[[#This Row],[Plays (D)]]/Table5[[#This Row],[G]]</f>
        <v>65.2</v>
      </c>
      <c r="L3" s="3">
        <f>Table5[[#This Row],[Pts (D)]]/Table5[[#This Row],[Plays (D)]]</f>
        <v>0.27607361963190186</v>
      </c>
      <c r="M3" s="3">
        <f>Table5[[#This Row],[Plays/G (D)]]*Table5[[#This Row],[Pts/P (D)]]</f>
        <v>18.000000000000004</v>
      </c>
      <c r="N3" s="3">
        <f>Table5[[#This Row],[Def Pts/G]]-Table5[[#Totals],[Def Pts/G]]</f>
        <v>-4.8722537878787868</v>
      </c>
      <c r="O3" s="18">
        <f>Table5[[#This Row],[Off Pts/g]]-Table5[[#This Row],[Def Pts/G]]</f>
        <v>9.0999999999999979</v>
      </c>
    </row>
    <row r="4" spans="1:15" x14ac:dyDescent="0.25">
      <c r="A4" t="s">
        <v>21</v>
      </c>
      <c r="B4">
        <v>10</v>
      </c>
      <c r="C4">
        <v>219</v>
      </c>
      <c r="D4">
        <v>611</v>
      </c>
      <c r="E4" s="3">
        <f>Table5[[#This Row],[Plays (O)]]/Table5[[#This Row],[G]]</f>
        <v>61.1</v>
      </c>
      <c r="F4" s="3">
        <f>Table5[[#This Row],[Pts (O)]]/Table5[[#This Row],[Plays (O)]]</f>
        <v>0.35842880523731585</v>
      </c>
      <c r="G4" s="19">
        <f>Table5[[#This Row],[Plys/G (O)]]*Table5[[#This Row],[Pts/P (O)]]</f>
        <v>21.9</v>
      </c>
      <c r="H4" s="3">
        <f>Table5[[#This Row],[Off Pts/g]]-Table5[[#Totals],[Off Pts/g]]</f>
        <v>-1.0557449494949473</v>
      </c>
      <c r="I4" s="13">
        <v>158</v>
      </c>
      <c r="J4">
        <v>603</v>
      </c>
      <c r="K4" s="3">
        <f>Table5[[#This Row],[Plays (D)]]/Table5[[#This Row],[G]]</f>
        <v>60.3</v>
      </c>
      <c r="L4" s="3">
        <f>Table5[[#This Row],[Pts (D)]]/Table5[[#This Row],[Plays (D)]]</f>
        <v>0.26202321724709782</v>
      </c>
      <c r="M4" s="3">
        <f>Table5[[#This Row],[Plays/G (D)]]*Table5[[#This Row],[Pts/P (D)]]</f>
        <v>15.799999999999997</v>
      </c>
      <c r="N4" s="3">
        <f>Table5[[#This Row],[Def Pts/G]]-Table5[[#Totals],[Def Pts/G]]</f>
        <v>-7.0722537878787932</v>
      </c>
      <c r="O4" s="18">
        <f>Table5[[#This Row],[Off Pts/g]]-Table5[[#This Row],[Def Pts/G]]</f>
        <v>6.1000000000000014</v>
      </c>
    </row>
    <row r="5" spans="1:15" x14ac:dyDescent="0.25">
      <c r="A5" t="s">
        <v>13</v>
      </c>
      <c r="B5">
        <v>10</v>
      </c>
      <c r="C5">
        <v>241</v>
      </c>
      <c r="D5">
        <v>655</v>
      </c>
      <c r="E5" s="3">
        <f>Table5[[#This Row],[Plays (O)]]/Table5[[#This Row],[G]]</f>
        <v>65.5</v>
      </c>
      <c r="F5" s="3">
        <f>Table5[[#This Row],[Pts (O)]]/Table5[[#This Row],[Plays (O)]]</f>
        <v>0.36793893129770994</v>
      </c>
      <c r="G5" s="19">
        <f>Table5[[#This Row],[Plys/G (O)]]*Table5[[#This Row],[Pts/P (O)]]</f>
        <v>24.1</v>
      </c>
      <c r="H5" s="3">
        <f>Table5[[#This Row],[Off Pts/g]]-Table5[[#Totals],[Off Pts/g]]</f>
        <v>1.1442550505050555</v>
      </c>
      <c r="I5" s="13">
        <v>186</v>
      </c>
      <c r="J5">
        <v>603</v>
      </c>
      <c r="K5" s="3">
        <f>Table5[[#This Row],[Plays (D)]]/Table5[[#This Row],[G]]</f>
        <v>60.3</v>
      </c>
      <c r="L5" s="3">
        <f>Table5[[#This Row],[Pts (D)]]/Table5[[#This Row],[Plays (D)]]</f>
        <v>0.30845771144278605</v>
      </c>
      <c r="M5" s="3">
        <f>Table5[[#This Row],[Plays/G (D)]]*Table5[[#This Row],[Pts/P (D)]]</f>
        <v>18.599999999999998</v>
      </c>
      <c r="N5" s="3">
        <f>Table5[[#This Row],[Def Pts/G]]-Table5[[#Totals],[Def Pts/G]]</f>
        <v>-4.2722537878787925</v>
      </c>
      <c r="O5" s="18">
        <f>Table5[[#This Row],[Off Pts/g]]-Table5[[#This Row],[Def Pts/G]]</f>
        <v>5.5000000000000036</v>
      </c>
    </row>
    <row r="6" spans="1:15" x14ac:dyDescent="0.25">
      <c r="A6" t="s">
        <v>1</v>
      </c>
      <c r="B6">
        <v>10</v>
      </c>
      <c r="C6">
        <v>239</v>
      </c>
      <c r="D6">
        <v>640</v>
      </c>
      <c r="E6" s="3">
        <f>Table5[[#This Row],[Plays (O)]]/Table5[[#This Row],[G]]</f>
        <v>64</v>
      </c>
      <c r="F6" s="3">
        <f>Table5[[#This Row],[Pts (O)]]/Table5[[#This Row],[Plays (O)]]</f>
        <v>0.37343749999999998</v>
      </c>
      <c r="G6" s="19">
        <f>Table5[[#This Row],[Plys/G (O)]]*Table5[[#This Row],[Pts/P (O)]]</f>
        <v>23.9</v>
      </c>
      <c r="H6" s="3">
        <f>Table5[[#This Row],[Off Pts/g]]-Table5[[#Totals],[Off Pts/g]]</f>
        <v>0.94425505050505265</v>
      </c>
      <c r="I6" s="13">
        <v>189</v>
      </c>
      <c r="J6">
        <v>657</v>
      </c>
      <c r="K6" s="3">
        <f>Table5[[#This Row],[Plays (D)]]/Table5[[#This Row],[G]]</f>
        <v>65.7</v>
      </c>
      <c r="L6" s="3">
        <f>Table5[[#This Row],[Pts (D)]]/Table5[[#This Row],[Plays (D)]]</f>
        <v>0.28767123287671231</v>
      </c>
      <c r="M6" s="3">
        <f>Table5[[#This Row],[Plays/G (D)]]*Table5[[#This Row],[Pts/P (D)]]</f>
        <v>18.899999999999999</v>
      </c>
      <c r="N6" s="3">
        <f>Table5[[#This Row],[Def Pts/G]]-Table5[[#Totals],[Def Pts/G]]</f>
        <v>-3.9722537878787918</v>
      </c>
      <c r="O6" s="18">
        <f>Table5[[#This Row],[Off Pts/g]]-Table5[[#This Row],[Def Pts/G]]</f>
        <v>5</v>
      </c>
    </row>
    <row r="7" spans="1:15" x14ac:dyDescent="0.25">
      <c r="A7" t="s">
        <v>6</v>
      </c>
      <c r="B7">
        <v>10</v>
      </c>
      <c r="C7">
        <v>253</v>
      </c>
      <c r="D7">
        <v>625</v>
      </c>
      <c r="E7" s="3">
        <f>Table5[[#This Row],[Plays (O)]]/Table5[[#This Row],[G]]</f>
        <v>62.5</v>
      </c>
      <c r="F7" s="3">
        <f>Table5[[#This Row],[Pts (O)]]/Table5[[#This Row],[Plays (O)]]</f>
        <v>0.40479999999999999</v>
      </c>
      <c r="G7" s="19">
        <f>Table5[[#This Row],[Plys/G (O)]]*Table5[[#This Row],[Pts/P (O)]]</f>
        <v>25.3</v>
      </c>
      <c r="H7" s="3">
        <f>Table5[[#This Row],[Off Pts/g]]-Table5[[#Totals],[Off Pts/g]]</f>
        <v>2.3442550505050548</v>
      </c>
      <c r="I7" s="13">
        <v>215</v>
      </c>
      <c r="J7">
        <v>631</v>
      </c>
      <c r="K7" s="3">
        <f>Table5[[#This Row],[Plays (D)]]/Table5[[#This Row],[G]]</f>
        <v>63.1</v>
      </c>
      <c r="L7" s="3">
        <f>Table5[[#This Row],[Pts (D)]]/Table5[[#This Row],[Plays (D)]]</f>
        <v>0.34072900158478603</v>
      </c>
      <c r="M7" s="3">
        <f>Table5[[#This Row],[Plays/G (D)]]*Table5[[#This Row],[Pts/P (D)]]</f>
        <v>21.5</v>
      </c>
      <c r="N7" s="3">
        <f>Table5[[#This Row],[Def Pts/G]]-Table5[[#Totals],[Def Pts/G]]</f>
        <v>-1.3722537878787904</v>
      </c>
      <c r="O7" s="18">
        <f>Table5[[#This Row],[Off Pts/g]]-Table5[[#This Row],[Def Pts/G]]</f>
        <v>3.8000000000000007</v>
      </c>
    </row>
    <row r="8" spans="1:15" x14ac:dyDescent="0.25">
      <c r="A8" t="s">
        <v>20</v>
      </c>
      <c r="B8">
        <v>10</v>
      </c>
      <c r="C8">
        <v>320</v>
      </c>
      <c r="D8">
        <v>619</v>
      </c>
      <c r="E8" s="3">
        <f>Table5[[#This Row],[Plays (O)]]/Table5[[#This Row],[G]]</f>
        <v>61.9</v>
      </c>
      <c r="F8" s="3">
        <f>Table5[[#This Row],[Pts (O)]]/Table5[[#This Row],[Plays (O)]]</f>
        <v>0.51696284329563813</v>
      </c>
      <c r="G8" s="19">
        <f>Table5[[#This Row],[Plys/G (O)]]*Table5[[#This Row],[Pts/P (O)]]</f>
        <v>32</v>
      </c>
      <c r="H8" s="3">
        <f>Table5[[#This Row],[Off Pts/g]]-Table5[[#Totals],[Off Pts/g]]</f>
        <v>9.0442550505050541</v>
      </c>
      <c r="I8" s="13">
        <v>283</v>
      </c>
      <c r="J8">
        <v>685</v>
      </c>
      <c r="K8" s="3">
        <f>Table5[[#This Row],[Plays (D)]]/Table5[[#This Row],[G]]</f>
        <v>68.5</v>
      </c>
      <c r="L8" s="3">
        <f>Table5[[#This Row],[Pts (D)]]/Table5[[#This Row],[Plays (D)]]</f>
        <v>0.41313868613138688</v>
      </c>
      <c r="M8" s="3">
        <f>Table5[[#This Row],[Plays/G (D)]]*Table5[[#This Row],[Pts/P (D)]]</f>
        <v>28.3</v>
      </c>
      <c r="N8" s="3">
        <f>Table5[[#This Row],[Def Pts/G]]-Table5[[#Totals],[Def Pts/G]]</f>
        <v>5.4277462121212103</v>
      </c>
      <c r="O8" s="18">
        <f>Table5[[#This Row],[Off Pts/g]]-Table5[[#This Row],[Def Pts/G]]</f>
        <v>3.6999999999999993</v>
      </c>
    </row>
    <row r="9" spans="1:15" x14ac:dyDescent="0.25">
      <c r="A9" t="s">
        <v>28</v>
      </c>
      <c r="B9">
        <v>10</v>
      </c>
      <c r="C9">
        <v>226</v>
      </c>
      <c r="D9">
        <v>710</v>
      </c>
      <c r="E9" s="3">
        <f>Table5[[#This Row],[Plays (O)]]/Table5[[#This Row],[G]]</f>
        <v>71</v>
      </c>
      <c r="F9" s="3">
        <f>Table5[[#This Row],[Pts (O)]]/Table5[[#This Row],[Plays (O)]]</f>
        <v>0.3183098591549296</v>
      </c>
      <c r="G9" s="19">
        <f>Table5[[#This Row],[Plys/G (O)]]*Table5[[#This Row],[Pts/P (O)]]</f>
        <v>22.6</v>
      </c>
      <c r="H9" s="3">
        <f>Table5[[#This Row],[Off Pts/g]]-Table5[[#Totals],[Off Pts/g]]</f>
        <v>-0.35574494949494451</v>
      </c>
      <c r="I9" s="13">
        <v>190</v>
      </c>
      <c r="J9">
        <v>620</v>
      </c>
      <c r="K9" s="3">
        <f>Table5[[#This Row],[Plays (D)]]/Table5[[#This Row],[G]]</f>
        <v>62</v>
      </c>
      <c r="L9" s="3">
        <f>Table5[[#This Row],[Pts (D)]]/Table5[[#This Row],[Plays (D)]]</f>
        <v>0.30645161290322581</v>
      </c>
      <c r="M9" s="3">
        <f>Table5[[#This Row],[Plays/G (D)]]*Table5[[#This Row],[Pts/P (D)]]</f>
        <v>19</v>
      </c>
      <c r="N9" s="3">
        <f>Table5[[#This Row],[Def Pts/G]]-Table5[[#Totals],[Def Pts/G]]</f>
        <v>-3.8722537878787904</v>
      </c>
      <c r="O9" s="18">
        <f>Table5[[#This Row],[Off Pts/g]]-Table5[[#This Row],[Def Pts/G]]</f>
        <v>3.6000000000000014</v>
      </c>
    </row>
    <row r="10" spans="1:15" x14ac:dyDescent="0.25">
      <c r="A10" t="s">
        <v>17</v>
      </c>
      <c r="B10">
        <v>10</v>
      </c>
      <c r="C10">
        <v>222</v>
      </c>
      <c r="D10">
        <v>621</v>
      </c>
      <c r="E10" s="3">
        <f>Table5[[#This Row],[Plays (O)]]/Table5[[#This Row],[G]]</f>
        <v>62.1</v>
      </c>
      <c r="F10" s="3">
        <f>Table5[[#This Row],[Pts (O)]]/Table5[[#This Row],[Plays (O)]]</f>
        <v>0.35748792270531399</v>
      </c>
      <c r="G10" s="19">
        <f>Table5[[#This Row],[Plys/G (O)]]*Table5[[#This Row],[Pts/P (O)]]</f>
        <v>22.2</v>
      </c>
      <c r="H10" s="3">
        <f>Table5[[#This Row],[Off Pts/g]]-Table5[[#Totals],[Off Pts/g]]</f>
        <v>-0.75574494949494664</v>
      </c>
      <c r="I10" s="13">
        <v>187</v>
      </c>
      <c r="J10">
        <v>663</v>
      </c>
      <c r="K10" s="3">
        <f>Table5[[#This Row],[Plays (D)]]/Table5[[#This Row],[G]]</f>
        <v>66.3</v>
      </c>
      <c r="L10" s="3">
        <f>Table5[[#This Row],[Pts (D)]]/Table5[[#This Row],[Plays (D)]]</f>
        <v>0.28205128205128205</v>
      </c>
      <c r="M10" s="3">
        <f>Table5[[#This Row],[Plays/G (D)]]*Table5[[#This Row],[Pts/P (D)]]</f>
        <v>18.7</v>
      </c>
      <c r="N10" s="3">
        <f>Table5[[#This Row],[Def Pts/G]]-Table5[[#Totals],[Def Pts/G]]</f>
        <v>-4.1722537878787911</v>
      </c>
      <c r="O10" s="18">
        <f>Table5[[#This Row],[Off Pts/g]]-Table5[[#This Row],[Def Pts/G]]</f>
        <v>3.5</v>
      </c>
    </row>
    <row r="11" spans="1:15" x14ac:dyDescent="0.25">
      <c r="A11" t="s">
        <v>11</v>
      </c>
      <c r="B11">
        <v>10</v>
      </c>
      <c r="C11">
        <v>205</v>
      </c>
      <c r="D11">
        <v>629</v>
      </c>
      <c r="E11" s="3">
        <f>Table5[[#This Row],[Plays (O)]]/Table5[[#This Row],[G]]</f>
        <v>62.9</v>
      </c>
      <c r="F11" s="3">
        <f>Table5[[#This Row],[Pts (O)]]/Table5[[#This Row],[Plays (O)]]</f>
        <v>0.32591414944356123</v>
      </c>
      <c r="G11" s="19">
        <f>Table5[[#This Row],[Plys/G (O)]]*Table5[[#This Row],[Pts/P (O)]]</f>
        <v>20.5</v>
      </c>
      <c r="H11" s="19">
        <f>Table5[[#This Row],[Off Pts/g]]-Table5[[#Totals],[Off Pts/g]]</f>
        <v>-2.4557449494949459</v>
      </c>
      <c r="I11" s="13">
        <v>176</v>
      </c>
      <c r="J11">
        <v>633</v>
      </c>
      <c r="K11" s="3">
        <f>Table5[[#This Row],[Plays (D)]]/Table5[[#This Row],[G]]</f>
        <v>63.3</v>
      </c>
      <c r="L11" s="3">
        <f>Table5[[#This Row],[Pts (D)]]/Table5[[#This Row],[Plays (D)]]</f>
        <v>0.27804107424960506</v>
      </c>
      <c r="M11" s="3">
        <f>Table5[[#This Row],[Plays/G (D)]]*Table5[[#This Row],[Pts/P (D)]]</f>
        <v>17.599999999999998</v>
      </c>
      <c r="N11" s="3">
        <f>Table5[[#This Row],[Def Pts/G]]-Table5[[#Totals],[Def Pts/G]]</f>
        <v>-5.2722537878787925</v>
      </c>
      <c r="O11" s="18">
        <f>Table5[[#This Row],[Off Pts/g]]-Table5[[#This Row],[Def Pts/G]]</f>
        <v>2.9000000000000021</v>
      </c>
    </row>
    <row r="12" spans="1:15" x14ac:dyDescent="0.25">
      <c r="A12" t="s">
        <v>15</v>
      </c>
      <c r="B12">
        <v>9</v>
      </c>
      <c r="C12">
        <v>245</v>
      </c>
      <c r="D12">
        <v>603</v>
      </c>
      <c r="E12" s="3">
        <f>Table5[[#This Row],[Plays (O)]]/Table5[[#This Row],[G]]</f>
        <v>67</v>
      </c>
      <c r="F12" s="3">
        <f>Table5[[#This Row],[Pts (O)]]/Table5[[#This Row],[Plays (O)]]</f>
        <v>0.40630182421227196</v>
      </c>
      <c r="G12" s="19">
        <f>Table5[[#This Row],[Plys/G (O)]]*Table5[[#This Row],[Pts/P (O)]]</f>
        <v>27.222222222222221</v>
      </c>
      <c r="H12" s="3">
        <f>Table5[[#This Row],[Off Pts/g]]-Table5[[#Totals],[Off Pts/g]]</f>
        <v>4.2664772727272755</v>
      </c>
      <c r="I12" s="13">
        <v>223</v>
      </c>
      <c r="J12">
        <v>559</v>
      </c>
      <c r="K12" s="3">
        <f>Table5[[#This Row],[Plays (D)]]/Table5[[#This Row],[G]]</f>
        <v>62.111111111111114</v>
      </c>
      <c r="L12" s="3">
        <f>Table5[[#This Row],[Pts (D)]]/Table5[[#This Row],[Plays (D)]]</f>
        <v>0.39892665474060823</v>
      </c>
      <c r="M12" s="3">
        <f>Table5[[#This Row],[Plays/G (D)]]*Table5[[#This Row],[Pts/P (D)]]</f>
        <v>24.777777777777779</v>
      </c>
      <c r="N12" s="3">
        <f>Table5[[#This Row],[Def Pts/G]]-Table5[[#Totals],[Def Pts/G]]</f>
        <v>1.9055239898989882</v>
      </c>
      <c r="O12" s="18">
        <f>Table5[[#This Row],[Off Pts/g]]-Table5[[#This Row],[Def Pts/G]]</f>
        <v>2.4444444444444429</v>
      </c>
    </row>
    <row r="13" spans="1:15" x14ac:dyDescent="0.25">
      <c r="A13" t="s">
        <v>29</v>
      </c>
      <c r="B13">
        <v>10</v>
      </c>
      <c r="C13">
        <v>238</v>
      </c>
      <c r="D13">
        <v>644</v>
      </c>
      <c r="E13" s="3">
        <f>Table5[[#This Row],[Plays (O)]]/Table5[[#This Row],[G]]</f>
        <v>64.400000000000006</v>
      </c>
      <c r="F13" s="3">
        <f>Table5[[#This Row],[Pts (O)]]/Table5[[#This Row],[Plays (O)]]</f>
        <v>0.36956521739130432</v>
      </c>
      <c r="G13" s="19">
        <f>Table5[[#This Row],[Plys/G (O)]]*Table5[[#This Row],[Pts/P (O)]]</f>
        <v>23.8</v>
      </c>
      <c r="H13" s="3">
        <f>Table5[[#This Row],[Off Pts/g]]-Table5[[#Totals],[Off Pts/g]]</f>
        <v>0.84425505050505478</v>
      </c>
      <c r="I13" s="13">
        <v>215</v>
      </c>
      <c r="J13">
        <v>626</v>
      </c>
      <c r="K13" s="3">
        <f>Table5[[#This Row],[Plays (D)]]/Table5[[#This Row],[G]]</f>
        <v>62.6</v>
      </c>
      <c r="L13" s="3">
        <f>Table5[[#This Row],[Pts (D)]]/Table5[[#This Row],[Plays (D)]]</f>
        <v>0.34345047923322686</v>
      </c>
      <c r="M13" s="3">
        <f>Table5[[#This Row],[Plays/G (D)]]*Table5[[#This Row],[Pts/P (D)]]</f>
        <v>21.5</v>
      </c>
      <c r="N13" s="3">
        <f>Table5[[#This Row],[Def Pts/G]]-Table5[[#Totals],[Def Pts/G]]</f>
        <v>-1.3722537878787904</v>
      </c>
      <c r="O13" s="18">
        <f>Table5[[#This Row],[Off Pts/g]]-Table5[[#This Row],[Def Pts/G]]</f>
        <v>2.3000000000000007</v>
      </c>
    </row>
    <row r="14" spans="1:15" x14ac:dyDescent="0.25">
      <c r="A14" t="s">
        <v>30</v>
      </c>
      <c r="B14">
        <v>10</v>
      </c>
      <c r="C14">
        <v>254</v>
      </c>
      <c r="D14">
        <v>655</v>
      </c>
      <c r="E14" s="3">
        <f>Table5[[#This Row],[Plays (O)]]/Table5[[#This Row],[G]]</f>
        <v>65.5</v>
      </c>
      <c r="F14" s="3">
        <f>Table5[[#This Row],[Pts (O)]]/Table5[[#This Row],[Plays (O)]]</f>
        <v>0.38778625954198476</v>
      </c>
      <c r="G14" s="19">
        <f>Table5[[#This Row],[Plys/G (O)]]*Table5[[#This Row],[Pts/P (O)]]</f>
        <v>25.400000000000002</v>
      </c>
      <c r="H14" s="3">
        <f>Table5[[#This Row],[Off Pts/g]]-Table5[[#Totals],[Off Pts/g]]</f>
        <v>2.4442550505050562</v>
      </c>
      <c r="I14" s="13">
        <v>233</v>
      </c>
      <c r="J14">
        <v>640</v>
      </c>
      <c r="K14" s="3">
        <f>Table5[[#This Row],[Plays (D)]]/Table5[[#This Row],[G]]</f>
        <v>64</v>
      </c>
      <c r="L14" s="3">
        <f>Table5[[#This Row],[Pts (D)]]/Table5[[#This Row],[Plays (D)]]</f>
        <v>0.36406250000000001</v>
      </c>
      <c r="M14" s="3">
        <f>Table5[[#This Row],[Plays/G (D)]]*Table5[[#This Row],[Pts/P (D)]]</f>
        <v>23.3</v>
      </c>
      <c r="N14" s="3">
        <f>Table5[[#This Row],[Def Pts/G]]-Table5[[#Totals],[Def Pts/G]]</f>
        <v>0.42774621212121033</v>
      </c>
      <c r="O14" s="18">
        <f>Table5[[#This Row],[Off Pts/g]]-Table5[[#This Row],[Def Pts/G]]</f>
        <v>2.1000000000000014</v>
      </c>
    </row>
    <row r="15" spans="1:15" x14ac:dyDescent="0.25">
      <c r="A15" t="s">
        <v>18</v>
      </c>
      <c r="B15">
        <v>10</v>
      </c>
      <c r="C15">
        <v>292</v>
      </c>
      <c r="D15">
        <v>664</v>
      </c>
      <c r="E15" s="3">
        <f>Table5[[#This Row],[Plays (O)]]/Table5[[#This Row],[G]]</f>
        <v>66.400000000000006</v>
      </c>
      <c r="F15" s="3">
        <f>Table5[[#This Row],[Pts (O)]]/Table5[[#This Row],[Plays (O)]]</f>
        <v>0.43975903614457829</v>
      </c>
      <c r="G15" s="19">
        <f>Table5[[#This Row],[Plys/G (O)]]*Table5[[#This Row],[Pts/P (O)]]</f>
        <v>29.2</v>
      </c>
      <c r="H15" s="3">
        <f>Table5[[#This Row],[Off Pts/g]]-Table5[[#Totals],[Off Pts/g]]</f>
        <v>6.2442550505050534</v>
      </c>
      <c r="I15" s="13">
        <v>278</v>
      </c>
      <c r="J15">
        <v>645</v>
      </c>
      <c r="K15" s="3">
        <f>Table5[[#This Row],[Plays (D)]]/Table5[[#This Row],[G]]</f>
        <v>64.5</v>
      </c>
      <c r="L15" s="3">
        <f>Table5[[#This Row],[Pts (D)]]/Table5[[#This Row],[Plays (D)]]</f>
        <v>0.43100775193798452</v>
      </c>
      <c r="M15" s="3">
        <f>Table5[[#This Row],[Plays/G (D)]]*Table5[[#This Row],[Pts/P (D)]]</f>
        <v>27.8</v>
      </c>
      <c r="N15" s="3">
        <f>Table5[[#This Row],[Def Pts/G]]-Table5[[#Totals],[Def Pts/G]]</f>
        <v>4.9277462121212103</v>
      </c>
      <c r="O15" s="18">
        <f>Table5[[#This Row],[Off Pts/g]]-Table5[[#This Row],[Def Pts/G]]</f>
        <v>1.3999999999999986</v>
      </c>
    </row>
    <row r="16" spans="1:15" x14ac:dyDescent="0.25">
      <c r="A16" t="s">
        <v>5</v>
      </c>
      <c r="B16">
        <v>10</v>
      </c>
      <c r="C16">
        <v>199</v>
      </c>
      <c r="D16">
        <v>674</v>
      </c>
      <c r="E16" s="3">
        <f>Table5[[#This Row],[Plays (O)]]/Table5[[#This Row],[G]]</f>
        <v>67.400000000000006</v>
      </c>
      <c r="F16" s="3">
        <f>Table5[[#This Row],[Pts (O)]]/Table5[[#This Row],[Plays (O)]]</f>
        <v>0.29525222551928781</v>
      </c>
      <c r="G16" s="19">
        <f>Table5[[#This Row],[Plys/G (O)]]*Table5[[#This Row],[Pts/P (O)]]</f>
        <v>19.900000000000002</v>
      </c>
      <c r="H16" s="3">
        <f>Table5[[#This Row],[Off Pts/g]]-Table5[[#Totals],[Off Pts/g]]</f>
        <v>-3.0557449494949438</v>
      </c>
      <c r="I16" s="13">
        <v>187</v>
      </c>
      <c r="J16">
        <v>596</v>
      </c>
      <c r="K16" s="3">
        <f>Table5[[#This Row],[Plays (D)]]/Table5[[#This Row],[G]]</f>
        <v>59.6</v>
      </c>
      <c r="L16" s="3">
        <f>Table5[[#This Row],[Pts (D)]]/Table5[[#This Row],[Plays (D)]]</f>
        <v>0.31375838926174499</v>
      </c>
      <c r="M16" s="3">
        <f>Table5[[#This Row],[Plays/G (D)]]*Table5[[#This Row],[Pts/P (D)]]</f>
        <v>18.700000000000003</v>
      </c>
      <c r="N16" s="3">
        <f>Table5[[#This Row],[Def Pts/G]]-Table5[[#Totals],[Def Pts/G]]</f>
        <v>-4.1722537878787875</v>
      </c>
      <c r="O16" s="18">
        <f>Table5[[#This Row],[Off Pts/g]]-Table5[[#This Row],[Def Pts/G]]</f>
        <v>1.1999999999999993</v>
      </c>
    </row>
    <row r="17" spans="1:15" x14ac:dyDescent="0.25">
      <c r="A17" t="s">
        <v>23</v>
      </c>
      <c r="B17">
        <v>10</v>
      </c>
      <c r="C17">
        <v>231</v>
      </c>
      <c r="D17">
        <v>594</v>
      </c>
      <c r="E17" s="3">
        <f>Table5[[#This Row],[Plays (O)]]/Table5[[#This Row],[G]]</f>
        <v>59.4</v>
      </c>
      <c r="F17" s="3">
        <f>Table5[[#This Row],[Pts (O)]]/Table5[[#This Row],[Plays (O)]]</f>
        <v>0.3888888888888889</v>
      </c>
      <c r="G17" s="19">
        <f>Table5[[#This Row],[Plys/G (O)]]*Table5[[#This Row],[Pts/P (O)]]</f>
        <v>23.1</v>
      </c>
      <c r="H17" s="3">
        <f>Table5[[#This Row],[Off Pts/g]]-Table5[[#Totals],[Off Pts/g]]</f>
        <v>0.14425505050505549</v>
      </c>
      <c r="I17" s="13">
        <v>225</v>
      </c>
      <c r="J17">
        <v>619</v>
      </c>
      <c r="K17" s="3">
        <f>Table5[[#This Row],[Plays (D)]]/Table5[[#This Row],[G]]</f>
        <v>61.9</v>
      </c>
      <c r="L17" s="3">
        <f>Table5[[#This Row],[Pts (D)]]/Table5[[#This Row],[Plays (D)]]</f>
        <v>0.36348949919224555</v>
      </c>
      <c r="M17" s="3">
        <f>Table5[[#This Row],[Plays/G (D)]]*Table5[[#This Row],[Pts/P (D)]]</f>
        <v>22.5</v>
      </c>
      <c r="N17" s="3">
        <f>Table5[[#This Row],[Def Pts/G]]-Table5[[#Totals],[Def Pts/G]]</f>
        <v>-0.37225378787879038</v>
      </c>
      <c r="O17" s="18">
        <f>Table5[[#This Row],[Off Pts/g]]-Table5[[#This Row],[Def Pts/G]]</f>
        <v>0.60000000000000142</v>
      </c>
    </row>
    <row r="18" spans="1:15" x14ac:dyDescent="0.25">
      <c r="A18" t="s">
        <v>12</v>
      </c>
      <c r="B18">
        <v>11</v>
      </c>
      <c r="C18">
        <v>281</v>
      </c>
      <c r="D18">
        <v>703</v>
      </c>
      <c r="E18" s="3">
        <f>Table5[[#This Row],[Plays (O)]]/Table5[[#This Row],[G]]</f>
        <v>63.909090909090907</v>
      </c>
      <c r="F18" s="3">
        <f>Table5[[#This Row],[Pts (O)]]/Table5[[#This Row],[Plays (O)]]</f>
        <v>0.39971550497866287</v>
      </c>
      <c r="G18" s="19">
        <f>Table5[[#This Row],[Plys/G (O)]]*Table5[[#This Row],[Pts/P (O)]]</f>
        <v>25.545454545454543</v>
      </c>
      <c r="H18" s="3">
        <f>Table5[[#This Row],[Off Pts/g]]-Table5[[#Totals],[Off Pts/g]]</f>
        <v>2.5897095959595973</v>
      </c>
      <c r="I18" s="13">
        <v>275</v>
      </c>
      <c r="J18">
        <v>691</v>
      </c>
      <c r="K18" s="3">
        <f>Table5[[#This Row],[Plays (D)]]/Table5[[#This Row],[G]]</f>
        <v>62.81818181818182</v>
      </c>
      <c r="L18" s="3">
        <f>Table5[[#This Row],[Pts (D)]]/Table5[[#This Row],[Plays (D)]]</f>
        <v>0.39797395079594788</v>
      </c>
      <c r="M18" s="3">
        <f>Table5[[#This Row],[Plays/G (D)]]*Table5[[#This Row],[Pts/P (D)]]</f>
        <v>25</v>
      </c>
      <c r="N18" s="3">
        <f>Table5[[#This Row],[Def Pts/G]]-Table5[[#Totals],[Def Pts/G]]</f>
        <v>2.1277462121212096</v>
      </c>
      <c r="O18" s="18">
        <f>Table5[[#This Row],[Off Pts/g]]-Table5[[#This Row],[Def Pts/G]]</f>
        <v>0.54545454545454319</v>
      </c>
    </row>
    <row r="19" spans="1:15" x14ac:dyDescent="0.25">
      <c r="A19" t="s">
        <v>25</v>
      </c>
      <c r="B19">
        <v>10</v>
      </c>
      <c r="C19">
        <v>204</v>
      </c>
      <c r="D19">
        <v>626</v>
      </c>
      <c r="E19" s="3">
        <f>Table5[[#This Row],[Plays (O)]]/Table5[[#This Row],[G]]</f>
        <v>62.6</v>
      </c>
      <c r="F19" s="3">
        <f>Table5[[#This Row],[Pts (O)]]/Table5[[#This Row],[Plays (O)]]</f>
        <v>0.32587859424920129</v>
      </c>
      <c r="G19" s="19">
        <f>Table5[[#This Row],[Plys/G (O)]]*Table5[[#This Row],[Pts/P (O)]]</f>
        <v>20.400000000000002</v>
      </c>
      <c r="H19" s="3">
        <f>Table5[[#This Row],[Off Pts/g]]-Table5[[#Totals],[Off Pts/g]]</f>
        <v>-2.5557449494949438</v>
      </c>
      <c r="I19" s="13">
        <v>200</v>
      </c>
      <c r="J19">
        <v>688</v>
      </c>
      <c r="K19" s="3">
        <f>Table5[[#This Row],[Plays (D)]]/Table5[[#This Row],[G]]</f>
        <v>68.8</v>
      </c>
      <c r="L19" s="3">
        <f>Table5[[#This Row],[Pts (D)]]/Table5[[#This Row],[Plays (D)]]</f>
        <v>0.29069767441860467</v>
      </c>
      <c r="M19" s="3">
        <f>Table5[[#This Row],[Plays/G (D)]]*Table5[[#This Row],[Pts/P (D)]]</f>
        <v>20</v>
      </c>
      <c r="N19" s="3">
        <f>Table5[[#This Row],[Def Pts/G]]-Table5[[#Totals],[Def Pts/G]]</f>
        <v>-2.8722537878787904</v>
      </c>
      <c r="O19" s="18">
        <f>Table5[[#This Row],[Off Pts/g]]-Table5[[#This Row],[Def Pts/G]]</f>
        <v>0.40000000000000213</v>
      </c>
    </row>
    <row r="20" spans="1:15" x14ac:dyDescent="0.25">
      <c r="A20" t="s">
        <v>22</v>
      </c>
      <c r="B20">
        <v>10</v>
      </c>
      <c r="C20">
        <v>218</v>
      </c>
      <c r="D20">
        <v>569</v>
      </c>
      <c r="E20" s="3">
        <f>Table5[[#This Row],[Plays (O)]]/Table5[[#This Row],[G]]</f>
        <v>56.9</v>
      </c>
      <c r="F20" s="3">
        <f>Table5[[#This Row],[Pts (O)]]/Table5[[#This Row],[Plays (O)]]</f>
        <v>0.38312829525483305</v>
      </c>
      <c r="G20" s="19">
        <f>Table5[[#This Row],[Plys/G (O)]]*Table5[[#This Row],[Pts/P (O)]]</f>
        <v>21.8</v>
      </c>
      <c r="H20" s="3">
        <f>Table5[[#This Row],[Off Pts/g]]-Table5[[#Totals],[Off Pts/g]]</f>
        <v>-1.1557449494949452</v>
      </c>
      <c r="I20" s="13">
        <v>216</v>
      </c>
      <c r="J20">
        <v>657</v>
      </c>
      <c r="K20" s="3">
        <f>Table5[[#This Row],[Plays (D)]]/Table5[[#This Row],[G]]</f>
        <v>65.7</v>
      </c>
      <c r="L20" s="3">
        <f>Table5[[#This Row],[Pts (D)]]/Table5[[#This Row],[Plays (D)]]</f>
        <v>0.32876712328767121</v>
      </c>
      <c r="M20" s="3">
        <f>Table5[[#This Row],[Plays/G (D)]]*Table5[[#This Row],[Pts/P (D)]]</f>
        <v>21.6</v>
      </c>
      <c r="N20" s="3">
        <f>Table5[[#This Row],[Def Pts/G]]-Table5[[#Totals],[Def Pts/G]]</f>
        <v>-1.272253787878789</v>
      </c>
      <c r="O20" s="18">
        <f>Table5[[#This Row],[Off Pts/g]]-Table5[[#This Row],[Def Pts/G]]</f>
        <v>0.19999999999999929</v>
      </c>
    </row>
    <row r="21" spans="1:15" x14ac:dyDescent="0.25">
      <c r="A21" t="s">
        <v>16</v>
      </c>
      <c r="B21">
        <v>10</v>
      </c>
      <c r="C21">
        <v>285</v>
      </c>
      <c r="D21">
        <v>694</v>
      </c>
      <c r="E21" s="3">
        <f>Table5[[#This Row],[Plays (O)]]/Table5[[#This Row],[G]]</f>
        <v>69.400000000000006</v>
      </c>
      <c r="F21" s="3">
        <f>Table5[[#This Row],[Pts (O)]]/Table5[[#This Row],[Plays (O)]]</f>
        <v>0.41066282420749278</v>
      </c>
      <c r="G21" s="19">
        <f>Table5[[#This Row],[Plys/G (O)]]*Table5[[#This Row],[Pts/P (O)]]</f>
        <v>28.5</v>
      </c>
      <c r="H21" s="3">
        <f>Table5[[#This Row],[Off Pts/g]]-Table5[[#Totals],[Off Pts/g]]</f>
        <v>5.5442550505050541</v>
      </c>
      <c r="I21" s="13">
        <v>286</v>
      </c>
      <c r="J21">
        <v>653</v>
      </c>
      <c r="K21" s="3">
        <f>Table5[[#This Row],[Plays (D)]]/Table5[[#This Row],[G]]</f>
        <v>65.3</v>
      </c>
      <c r="L21" s="3">
        <f>Table5[[#This Row],[Pts (D)]]/Table5[[#This Row],[Plays (D)]]</f>
        <v>0.43797856049004597</v>
      </c>
      <c r="M21" s="3">
        <f>Table5[[#This Row],[Plays/G (D)]]*Table5[[#This Row],[Pts/P (D)]]</f>
        <v>28.6</v>
      </c>
      <c r="N21" s="3">
        <f>Table5[[#This Row],[Def Pts/G]]-Table5[[#Totals],[Def Pts/G]]</f>
        <v>5.727746212121211</v>
      </c>
      <c r="O21" s="18">
        <f>Table5[[#This Row],[Off Pts/g]]-Table5[[#This Row],[Def Pts/G]]</f>
        <v>-0.10000000000000142</v>
      </c>
    </row>
    <row r="22" spans="1:15" x14ac:dyDescent="0.25">
      <c r="A22" t="s">
        <v>2</v>
      </c>
      <c r="B22">
        <v>10</v>
      </c>
      <c r="C22">
        <v>244</v>
      </c>
      <c r="D22">
        <v>668</v>
      </c>
      <c r="E22" s="3">
        <f>Table5[[#This Row],[Plays (O)]]/Table5[[#This Row],[G]]</f>
        <v>66.8</v>
      </c>
      <c r="F22" s="3">
        <f>Table5[[#This Row],[Pts (O)]]/Table5[[#This Row],[Plays (O)]]</f>
        <v>0.3652694610778443</v>
      </c>
      <c r="G22" s="19">
        <f>Table5[[#This Row],[Plys/G (O)]]*Table5[[#This Row],[Pts/P (O)]]</f>
        <v>24.4</v>
      </c>
      <c r="H22" s="3">
        <f>Table5[[#This Row],[Off Pts/g]]-Table5[[#Totals],[Off Pts/g]]</f>
        <v>1.4442550505050527</v>
      </c>
      <c r="I22" s="13">
        <v>246</v>
      </c>
      <c r="J22">
        <v>644</v>
      </c>
      <c r="K22" s="3">
        <f>Table5[[#This Row],[Plays (D)]]/Table5[[#This Row],[G]]</f>
        <v>64.400000000000006</v>
      </c>
      <c r="L22" s="3">
        <f>Table5[[#This Row],[Pts (D)]]/Table5[[#This Row],[Plays (D)]]</f>
        <v>0.38198757763975155</v>
      </c>
      <c r="M22" s="3">
        <f>Table5[[#This Row],[Plays/G (D)]]*Table5[[#This Row],[Pts/P (D)]]</f>
        <v>24.6</v>
      </c>
      <c r="N22" s="3">
        <f>Table5[[#This Row],[Def Pts/G]]-Table5[[#Totals],[Def Pts/G]]</f>
        <v>1.727746212121211</v>
      </c>
      <c r="O22" s="18">
        <f>Table5[[#This Row],[Off Pts/g]]-Table5[[#This Row],[Def Pts/G]]</f>
        <v>-0.20000000000000284</v>
      </c>
    </row>
    <row r="23" spans="1:15" x14ac:dyDescent="0.25">
      <c r="A23" t="s">
        <v>24</v>
      </c>
      <c r="B23">
        <v>10</v>
      </c>
      <c r="C23">
        <v>263</v>
      </c>
      <c r="D23">
        <v>655</v>
      </c>
      <c r="E23" s="3">
        <f>Table5[[#This Row],[Plays (O)]]/Table5[[#This Row],[G]]</f>
        <v>65.5</v>
      </c>
      <c r="F23" s="3">
        <f>Table5[[#This Row],[Pts (O)]]/Table5[[#This Row],[Plays (O)]]</f>
        <v>0.40152671755725189</v>
      </c>
      <c r="G23" s="19">
        <f>Table5[[#This Row],[Plys/G (O)]]*Table5[[#This Row],[Pts/P (O)]]</f>
        <v>26.299999999999997</v>
      </c>
      <c r="H23" s="3">
        <f>Table5[[#This Row],[Off Pts/g]]-Table5[[#Totals],[Off Pts/g]]</f>
        <v>3.3442550505050512</v>
      </c>
      <c r="I23" s="13">
        <v>273</v>
      </c>
      <c r="J23">
        <v>656</v>
      </c>
      <c r="K23" s="3">
        <f>Table5[[#This Row],[Plays (D)]]/Table5[[#This Row],[G]]</f>
        <v>65.599999999999994</v>
      </c>
      <c r="L23" s="3">
        <f>Table5[[#This Row],[Pts (D)]]/Table5[[#This Row],[Plays (D)]]</f>
        <v>0.41615853658536583</v>
      </c>
      <c r="M23" s="3">
        <f>Table5[[#This Row],[Plays/G (D)]]*Table5[[#This Row],[Pts/P (D)]]</f>
        <v>27.299999999999997</v>
      </c>
      <c r="N23" s="3">
        <f>Table5[[#This Row],[Def Pts/G]]-Table5[[#Totals],[Def Pts/G]]</f>
        <v>4.4277462121212068</v>
      </c>
      <c r="O23" s="18">
        <f>Table5[[#This Row],[Off Pts/g]]-Table5[[#This Row],[Def Pts/G]]</f>
        <v>-1</v>
      </c>
    </row>
    <row r="24" spans="1:15" x14ac:dyDescent="0.25">
      <c r="A24" t="s">
        <v>19</v>
      </c>
      <c r="B24">
        <v>10</v>
      </c>
      <c r="C24">
        <v>235</v>
      </c>
      <c r="D24">
        <v>699</v>
      </c>
      <c r="E24" s="3">
        <f>Table5[[#This Row],[Plays (O)]]/Table5[[#This Row],[G]]</f>
        <v>69.900000000000006</v>
      </c>
      <c r="F24" s="3">
        <f>Table5[[#This Row],[Pts (O)]]/Table5[[#This Row],[Plays (O)]]</f>
        <v>0.33619456366237482</v>
      </c>
      <c r="G24" s="19">
        <f>Table5[[#This Row],[Plys/G (O)]]*Table5[[#This Row],[Pts/P (O)]]</f>
        <v>23.500000000000004</v>
      </c>
      <c r="H24" s="3">
        <f>Table5[[#This Row],[Off Pts/g]]-Table5[[#Totals],[Off Pts/g]]</f>
        <v>0.54425505050505762</v>
      </c>
      <c r="I24" s="13">
        <v>259</v>
      </c>
      <c r="J24">
        <v>636</v>
      </c>
      <c r="K24" s="3">
        <f>Table5[[#This Row],[Plays (D)]]/Table5[[#This Row],[G]]</f>
        <v>63.6</v>
      </c>
      <c r="L24" s="3">
        <f>Table5[[#This Row],[Pts (D)]]/Table5[[#This Row],[Plays (D)]]</f>
        <v>0.40723270440251574</v>
      </c>
      <c r="M24" s="3">
        <f>Table5[[#This Row],[Plays/G (D)]]*Table5[[#This Row],[Pts/P (D)]]</f>
        <v>25.900000000000002</v>
      </c>
      <c r="N24" s="3">
        <f>Table5[[#This Row],[Def Pts/G]]-Table5[[#Totals],[Def Pts/G]]</f>
        <v>3.0277462121212118</v>
      </c>
      <c r="O24" s="18">
        <f>Table5[[#This Row],[Off Pts/g]]-Table5[[#This Row],[Def Pts/G]]</f>
        <v>-2.3999999999999986</v>
      </c>
    </row>
    <row r="25" spans="1:15" x14ac:dyDescent="0.25">
      <c r="A25" t="s">
        <v>7</v>
      </c>
      <c r="B25">
        <v>10</v>
      </c>
      <c r="C25">
        <v>199</v>
      </c>
      <c r="D25">
        <v>659</v>
      </c>
      <c r="E25" s="3">
        <f>Table5[[#This Row],[Plays (O)]]/Table5[[#This Row],[G]]</f>
        <v>65.900000000000006</v>
      </c>
      <c r="F25" s="3">
        <f>Table5[[#This Row],[Pts (O)]]/Table5[[#This Row],[Plays (O)]]</f>
        <v>0.30197268588770865</v>
      </c>
      <c r="G25" s="19">
        <f>Table5[[#This Row],[Plys/G (O)]]*Table5[[#This Row],[Pts/P (O)]]</f>
        <v>19.900000000000002</v>
      </c>
      <c r="H25" s="3">
        <f>Table5[[#This Row],[Off Pts/g]]-Table5[[#Totals],[Off Pts/g]]</f>
        <v>-3.0557449494949438</v>
      </c>
      <c r="I25" s="13">
        <v>226</v>
      </c>
      <c r="J25">
        <v>644</v>
      </c>
      <c r="K25" s="3">
        <f>Table5[[#This Row],[Plays (D)]]/Table5[[#This Row],[G]]</f>
        <v>64.400000000000006</v>
      </c>
      <c r="L25" s="3">
        <f>Table5[[#This Row],[Pts (D)]]/Table5[[#This Row],[Plays (D)]]</f>
        <v>0.35093167701863354</v>
      </c>
      <c r="M25" s="3">
        <f>Table5[[#This Row],[Plays/G (D)]]*Table5[[#This Row],[Pts/P (D)]]</f>
        <v>22.6</v>
      </c>
      <c r="N25" s="3">
        <f>Table5[[#This Row],[Def Pts/G]]-Table5[[#Totals],[Def Pts/G]]</f>
        <v>-0.27225378787878896</v>
      </c>
      <c r="O25" s="18">
        <f>Table5[[#This Row],[Off Pts/g]]-Table5[[#This Row],[Def Pts/G]]</f>
        <v>-2.6999999999999993</v>
      </c>
    </row>
    <row r="26" spans="1:15" x14ac:dyDescent="0.25">
      <c r="A26" t="s">
        <v>3</v>
      </c>
      <c r="B26">
        <v>10</v>
      </c>
      <c r="C26">
        <v>247</v>
      </c>
      <c r="D26">
        <v>662</v>
      </c>
      <c r="E26" s="3">
        <f>Table5[[#This Row],[Plays (O)]]/Table5[[#This Row],[G]]</f>
        <v>66.2</v>
      </c>
      <c r="F26" s="3">
        <f>Table5[[#This Row],[Pts (O)]]/Table5[[#This Row],[Plays (O)]]</f>
        <v>0.37311178247734139</v>
      </c>
      <c r="G26" s="19">
        <f>Table5[[#This Row],[Plys/G (O)]]*Table5[[#This Row],[Pts/P (O)]]</f>
        <v>24.700000000000003</v>
      </c>
      <c r="H26" s="3">
        <f>Table5[[#This Row],[Off Pts/g]]-Table5[[#Totals],[Off Pts/g]]</f>
        <v>1.7442550505050569</v>
      </c>
      <c r="I26" s="13">
        <v>276</v>
      </c>
      <c r="J26">
        <v>597</v>
      </c>
      <c r="K26" s="3">
        <f>Table5[[#This Row],[Plays (D)]]/Table5[[#This Row],[G]]</f>
        <v>59.7</v>
      </c>
      <c r="L26" s="3">
        <f>Table5[[#This Row],[Pts (D)]]/Table5[[#This Row],[Plays (D)]]</f>
        <v>0.46231155778894473</v>
      </c>
      <c r="M26" s="3">
        <f>Table5[[#This Row],[Plays/G (D)]]*Table5[[#This Row],[Pts/P (D)]]</f>
        <v>27.6</v>
      </c>
      <c r="N26" s="3">
        <f>Table5[[#This Row],[Def Pts/G]]-Table5[[#Totals],[Def Pts/G]]</f>
        <v>4.727746212121211</v>
      </c>
      <c r="O26" s="18">
        <f>Table5[[#This Row],[Off Pts/g]]-Table5[[#This Row],[Def Pts/G]]</f>
        <v>-2.8999999999999986</v>
      </c>
    </row>
    <row r="27" spans="1:15" x14ac:dyDescent="0.25">
      <c r="A27" t="s">
        <v>9</v>
      </c>
      <c r="B27">
        <v>9</v>
      </c>
      <c r="C27">
        <v>161</v>
      </c>
      <c r="D27">
        <v>592</v>
      </c>
      <c r="E27" s="3">
        <f>Table5[[#This Row],[Plays (O)]]/Table5[[#This Row],[G]]</f>
        <v>65.777777777777771</v>
      </c>
      <c r="F27" s="3">
        <f>Table5[[#This Row],[Pts (O)]]/Table5[[#This Row],[Plays (O)]]</f>
        <v>0.27195945945945948</v>
      </c>
      <c r="G27" s="19">
        <f>Table5[[#This Row],[Plys/G (O)]]*Table5[[#This Row],[Pts/P (O)]]</f>
        <v>17.888888888888889</v>
      </c>
      <c r="H27" s="3">
        <f>Table5[[#This Row],[Off Pts/g]]-Table5[[#Totals],[Off Pts/g]]</f>
        <v>-5.0668560606060566</v>
      </c>
      <c r="I27" s="13">
        <v>188</v>
      </c>
      <c r="J27">
        <v>560</v>
      </c>
      <c r="K27" s="3">
        <f>Table5[[#This Row],[Plays (D)]]/Table5[[#This Row],[G]]</f>
        <v>62.222222222222221</v>
      </c>
      <c r="L27" s="3">
        <f>Table5[[#This Row],[Pts (D)]]/Table5[[#This Row],[Plays (D)]]</f>
        <v>0.33571428571428569</v>
      </c>
      <c r="M27" s="3">
        <f>Table5[[#This Row],[Plays/G (D)]]*Table5[[#This Row],[Pts/P (D)]]</f>
        <v>20.888888888888886</v>
      </c>
      <c r="N27" s="3">
        <f>Table5[[#This Row],[Def Pts/G]]-Table5[[#Totals],[Def Pts/G]]</f>
        <v>-1.9833648989899046</v>
      </c>
      <c r="O27" s="18">
        <f>Table5[[#This Row],[Off Pts/g]]-Table5[[#This Row],[Def Pts/G]]</f>
        <v>-2.9999999999999964</v>
      </c>
    </row>
    <row r="28" spans="1:15" x14ac:dyDescent="0.25">
      <c r="A28" t="s">
        <v>32</v>
      </c>
      <c r="B28">
        <v>10</v>
      </c>
      <c r="C28">
        <v>149</v>
      </c>
      <c r="D28">
        <v>622</v>
      </c>
      <c r="E28" s="3">
        <f>Table5[[#This Row],[Plays (O)]]/Table5[[#This Row],[G]]</f>
        <v>62.2</v>
      </c>
      <c r="F28" s="3">
        <f>Table5[[#This Row],[Pts (O)]]/Table5[[#This Row],[Plays (O)]]</f>
        <v>0.23954983922829581</v>
      </c>
      <c r="G28" s="19">
        <f>Table5[[#This Row],[Plys/G (O)]]*Table5[[#This Row],[Pts/P (O)]]</f>
        <v>14.9</v>
      </c>
      <c r="H28" s="3">
        <f>Table5[[#This Row],[Off Pts/g]]-Table5[[#Totals],[Off Pts/g]]</f>
        <v>-8.0557449494949456</v>
      </c>
      <c r="I28" s="13">
        <v>187</v>
      </c>
      <c r="J28">
        <v>639</v>
      </c>
      <c r="K28" s="3">
        <f>Table5[[#This Row],[Plays (D)]]/Table5[[#This Row],[G]]</f>
        <v>63.9</v>
      </c>
      <c r="L28" s="3">
        <f>Table5[[#This Row],[Pts (D)]]/Table5[[#This Row],[Plays (D)]]</f>
        <v>0.29264475743348983</v>
      </c>
      <c r="M28" s="3">
        <f>Table5[[#This Row],[Plays/G (D)]]*Table5[[#This Row],[Pts/P (D)]]</f>
        <v>18.7</v>
      </c>
      <c r="N28" s="3">
        <f>Table5[[#This Row],[Def Pts/G]]-Table5[[#Totals],[Def Pts/G]]</f>
        <v>-4.1722537878787911</v>
      </c>
      <c r="O28" s="18">
        <f>Table5[[#This Row],[Off Pts/g]]-Table5[[#This Row],[Def Pts/G]]</f>
        <v>-3.7999999999999989</v>
      </c>
    </row>
    <row r="29" spans="1:15" x14ac:dyDescent="0.25">
      <c r="A29" t="s">
        <v>8</v>
      </c>
      <c r="B29">
        <v>10</v>
      </c>
      <c r="C29">
        <v>179</v>
      </c>
      <c r="D29">
        <v>626</v>
      </c>
      <c r="E29" s="3">
        <f>Table5[[#This Row],[Plays (O)]]/Table5[[#This Row],[G]]</f>
        <v>62.6</v>
      </c>
      <c r="F29" s="3">
        <f>Table5[[#This Row],[Pts (O)]]/Table5[[#This Row],[Plays (O)]]</f>
        <v>0.28594249201277955</v>
      </c>
      <c r="G29" s="19">
        <f>Table5[[#This Row],[Plys/G (O)]]*Table5[[#This Row],[Pts/P (O)]]</f>
        <v>17.899999999999999</v>
      </c>
      <c r="H29" s="3">
        <f>Table5[[#This Row],[Off Pts/g]]-Table5[[#Totals],[Off Pts/g]]</f>
        <v>-5.0557449494949473</v>
      </c>
      <c r="I29" s="13">
        <v>244</v>
      </c>
      <c r="J29">
        <v>626</v>
      </c>
      <c r="K29" s="3">
        <f>Table5[[#This Row],[Plays (D)]]/Table5[[#This Row],[G]]</f>
        <v>62.6</v>
      </c>
      <c r="L29" s="3">
        <f>Table5[[#This Row],[Pts (D)]]/Table5[[#This Row],[Plays (D)]]</f>
        <v>0.38977635782747605</v>
      </c>
      <c r="M29" s="3">
        <f>Table5[[#This Row],[Plays/G (D)]]*Table5[[#This Row],[Pts/P (D)]]</f>
        <v>24.400000000000002</v>
      </c>
      <c r="N29" s="3">
        <f>Table5[[#This Row],[Def Pts/G]]-Table5[[#Totals],[Def Pts/G]]</f>
        <v>1.5277462121212118</v>
      </c>
      <c r="O29" s="18">
        <f>Table5[[#This Row],[Off Pts/g]]-Table5[[#This Row],[Def Pts/G]]</f>
        <v>-6.5000000000000036</v>
      </c>
    </row>
    <row r="30" spans="1:15" x14ac:dyDescent="0.25">
      <c r="A30" t="s">
        <v>4</v>
      </c>
      <c r="B30">
        <v>10</v>
      </c>
      <c r="C30">
        <v>193</v>
      </c>
      <c r="D30">
        <v>651</v>
      </c>
      <c r="E30" s="3">
        <f>Table5[[#This Row],[Plays (O)]]/Table5[[#This Row],[G]]</f>
        <v>65.099999999999994</v>
      </c>
      <c r="F30" s="3">
        <f>Table5[[#This Row],[Pts (O)]]/Table5[[#This Row],[Plays (O)]]</f>
        <v>0.2964669738863287</v>
      </c>
      <c r="G30" s="19">
        <f>Table5[[#This Row],[Plys/G (O)]]*Table5[[#This Row],[Pts/P (O)]]</f>
        <v>19.299999999999997</v>
      </c>
      <c r="H30" s="3">
        <f>Table5[[#This Row],[Off Pts/g]]-Table5[[#Totals],[Off Pts/g]]</f>
        <v>-3.6557449494949488</v>
      </c>
      <c r="I30" s="13">
        <v>265</v>
      </c>
      <c r="J30">
        <v>649</v>
      </c>
      <c r="K30" s="3">
        <f>Table5[[#This Row],[Plays (D)]]/Table5[[#This Row],[G]]</f>
        <v>64.900000000000006</v>
      </c>
      <c r="L30" s="3">
        <f>Table5[[#This Row],[Pts (D)]]/Table5[[#This Row],[Plays (D)]]</f>
        <v>0.40832049306625579</v>
      </c>
      <c r="M30" s="3">
        <f>Table5[[#This Row],[Plays/G (D)]]*Table5[[#This Row],[Pts/P (D)]]</f>
        <v>26.500000000000004</v>
      </c>
      <c r="N30" s="3">
        <f>Table5[[#This Row],[Def Pts/G]]-Table5[[#Totals],[Def Pts/G]]</f>
        <v>3.6277462121212132</v>
      </c>
      <c r="O30" s="18">
        <f>Table5[[#This Row],[Off Pts/g]]-Table5[[#This Row],[Def Pts/G]]</f>
        <v>-7.2000000000000064</v>
      </c>
    </row>
    <row r="31" spans="1:15" x14ac:dyDescent="0.25">
      <c r="A31" t="s">
        <v>10</v>
      </c>
      <c r="B31">
        <v>10</v>
      </c>
      <c r="C31">
        <v>157</v>
      </c>
      <c r="D31">
        <v>593</v>
      </c>
      <c r="E31" s="3">
        <f>Table5[[#This Row],[Plays (O)]]/Table5[[#This Row],[G]]</f>
        <v>59.3</v>
      </c>
      <c r="F31" s="3">
        <f>Table5[[#This Row],[Pts (O)]]/Table5[[#This Row],[Plays (O)]]</f>
        <v>0.26475548060708265</v>
      </c>
      <c r="G31" s="19">
        <f>Table5[[#This Row],[Plys/G (O)]]*Table5[[#This Row],[Pts/P (O)]]</f>
        <v>15.700000000000001</v>
      </c>
      <c r="H31" s="3">
        <f>Table5[[#This Row],[Off Pts/g]]-Table5[[#Totals],[Off Pts/g]]</f>
        <v>-7.2557449494949449</v>
      </c>
      <c r="I31" s="13">
        <v>237</v>
      </c>
      <c r="J31">
        <v>655</v>
      </c>
      <c r="K31" s="3">
        <f>Table5[[#This Row],[Plays (D)]]/Table5[[#This Row],[G]]</f>
        <v>65.5</v>
      </c>
      <c r="L31" s="3">
        <f>Table5[[#This Row],[Pts (D)]]/Table5[[#This Row],[Plays (D)]]</f>
        <v>0.3618320610687023</v>
      </c>
      <c r="M31" s="3">
        <f>Table5[[#This Row],[Plays/G (D)]]*Table5[[#This Row],[Pts/P (D)]]</f>
        <v>23.7</v>
      </c>
      <c r="N31" s="3">
        <f>Table5[[#This Row],[Def Pts/G]]-Table5[[#Totals],[Def Pts/G]]</f>
        <v>0.82774621212120891</v>
      </c>
      <c r="O31" s="18">
        <f>Table5[[#This Row],[Off Pts/g]]-Table5[[#This Row],[Def Pts/G]]</f>
        <v>-7.9999999999999982</v>
      </c>
    </row>
    <row r="32" spans="1:15" x14ac:dyDescent="0.25">
      <c r="A32" t="s">
        <v>31</v>
      </c>
      <c r="B32">
        <v>10</v>
      </c>
      <c r="C32">
        <v>204</v>
      </c>
      <c r="D32">
        <v>630</v>
      </c>
      <c r="E32" s="3">
        <f>Table5[[#This Row],[Plays (O)]]/Table5[[#This Row],[G]]</f>
        <v>63</v>
      </c>
      <c r="F32" s="3">
        <f>Table5[[#This Row],[Pts (O)]]/Table5[[#This Row],[Plays (O)]]</f>
        <v>0.32380952380952382</v>
      </c>
      <c r="G32" s="19">
        <f>Table5[[#This Row],[Plys/G (O)]]*Table5[[#This Row],[Pts/P (O)]]</f>
        <v>20.400000000000002</v>
      </c>
      <c r="H32" s="3">
        <f>Table5[[#This Row],[Off Pts/g]]-Table5[[#Totals],[Off Pts/g]]</f>
        <v>-2.5557449494949438</v>
      </c>
      <c r="I32" s="13">
        <v>313</v>
      </c>
      <c r="J32">
        <v>716</v>
      </c>
      <c r="K32" s="3">
        <f>Table5[[#This Row],[Plays (D)]]/Table5[[#This Row],[G]]</f>
        <v>71.599999999999994</v>
      </c>
      <c r="L32" s="3">
        <f>Table5[[#This Row],[Pts (D)]]/Table5[[#This Row],[Plays (D)]]</f>
        <v>0.43715083798882681</v>
      </c>
      <c r="M32" s="3">
        <f>Table5[[#This Row],[Plays/G (D)]]*Table5[[#This Row],[Pts/P (D)]]</f>
        <v>31.299999999999997</v>
      </c>
      <c r="N32" s="3">
        <f>Table5[[#This Row],[Def Pts/G]]-Table5[[#Totals],[Def Pts/G]]</f>
        <v>8.4277462121212068</v>
      </c>
      <c r="O32" s="18">
        <f>Table5[[#This Row],[Off Pts/g]]-Table5[[#This Row],[Def Pts/G]]</f>
        <v>-10.899999999999995</v>
      </c>
    </row>
    <row r="33" spans="1:15" x14ac:dyDescent="0.25">
      <c r="A33" t="s">
        <v>14</v>
      </c>
      <c r="B33">
        <v>11</v>
      </c>
      <c r="C33">
        <v>184</v>
      </c>
      <c r="D33">
        <v>661</v>
      </c>
      <c r="E33" s="3">
        <f>Table5[[#This Row],[Plays (O)]]/Table5[[#This Row],[G]]</f>
        <v>60.090909090909093</v>
      </c>
      <c r="F33" s="3">
        <f>Table5[[#This Row],[Pts (O)]]/Table5[[#This Row],[Plays (O)]]</f>
        <v>0.2783661119515885</v>
      </c>
      <c r="G33" s="19">
        <f>Table5[[#This Row],[Plys/G (O)]]*Table5[[#This Row],[Pts/P (O)]]</f>
        <v>16.727272727272727</v>
      </c>
      <c r="H33" s="3">
        <f>Table5[[#This Row],[Off Pts/g]]-Table5[[#Totals],[Off Pts/g]]</f>
        <v>-6.2284722222222193</v>
      </c>
      <c r="I33" s="13">
        <v>325</v>
      </c>
      <c r="J33">
        <v>742</v>
      </c>
      <c r="K33" s="3">
        <f>Table5[[#This Row],[Plays (D)]]/Table5[[#This Row],[G]]</f>
        <v>67.454545454545453</v>
      </c>
      <c r="L33" s="3">
        <f>Table5[[#This Row],[Pts (D)]]/Table5[[#This Row],[Plays (D)]]</f>
        <v>0.43800539083557949</v>
      </c>
      <c r="M33" s="3">
        <f>Table5[[#This Row],[Plays/G (D)]]*Table5[[#This Row],[Pts/P (D)]]</f>
        <v>29.545454545454543</v>
      </c>
      <c r="N33" s="3">
        <f>Table5[[#This Row],[Def Pts/G]]-Table5[[#Totals],[Def Pts/G]]</f>
        <v>6.6732007575757528</v>
      </c>
      <c r="O33" s="18">
        <f>Table5[[#This Row],[Off Pts/g]]-Table5[[#This Row],[Def Pts/G]]</f>
        <v>-12.818181818181817</v>
      </c>
    </row>
    <row r="34" spans="1:15" x14ac:dyDescent="0.25">
      <c r="A34" t="s">
        <v>41</v>
      </c>
      <c r="C34" s="17">
        <f>SUBTOTAL(101,Table5[Pts (O)])</f>
        <v>229.46875</v>
      </c>
      <c r="D34" s="6">
        <f>SUBTOTAL(101,Table5[Plays (O)])</f>
        <v>642.4375</v>
      </c>
      <c r="E34" s="3">
        <f>SUBTOTAL(101,Table5[Plys/G (O)])</f>
        <v>64.27118055555556</v>
      </c>
      <c r="F34" s="3">
        <f>SUBTOTAL(101,Table5[Pts/P (O)])</f>
        <v>0.35693172994395328</v>
      </c>
      <c r="G34" s="19">
        <f>SUBTOTAL(101,Table5[Off Pts/g])</f>
        <v>22.955744949494946</v>
      </c>
      <c r="H34" s="3">
        <f>SUBTOTAL(101,Table5[Off Diff])</f>
        <v>3.4972025275692431E-15</v>
      </c>
      <c r="I34" s="17">
        <f>SUBTOTAL(101,Table5[Pts (D)])</f>
        <v>229</v>
      </c>
      <c r="J34" s="6">
        <f>SUBTOTAL(101,Table5[Plays (D)])</f>
        <v>640.15625</v>
      </c>
      <c r="K34" s="3">
        <f>SUBTOTAL(101,Table5[Plays/G (D)])</f>
        <v>63.99706439393939</v>
      </c>
      <c r="L34" s="3">
        <f>SUBTOTAL(101,Table5[Pts/P (D)])</f>
        <v>0.35682759142229237</v>
      </c>
      <c r="M34" s="3">
        <f>SUBTOTAL(101,Table5[Def Pts/G])</f>
        <v>22.87225378787879</v>
      </c>
      <c r="N34" s="3">
        <f>SUBTOTAL(101,Table5[Def Diff])</f>
        <v>-2.4424906541753444E-15</v>
      </c>
      <c r="O34" s="18">
        <f>SUBTOTAL(101,Table5[Pts Diff])</f>
        <v>8.3491161616161991E-2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"/>
  <sheetViews>
    <sheetView workbookViewId="0">
      <selection activeCell="I3" sqref="I3"/>
    </sheetView>
  </sheetViews>
  <sheetFormatPr defaultRowHeight="15" x14ac:dyDescent="0.25"/>
  <cols>
    <col min="1" max="1" width="21.140625" bestFit="1" customWidth="1"/>
    <col min="2" max="2" width="13.7109375" bestFit="1" customWidth="1"/>
    <col min="3" max="3" width="13.28515625" bestFit="1" customWidth="1"/>
    <col min="4" max="4" width="13.28515625" customWidth="1"/>
    <col min="5" max="5" width="12" bestFit="1" customWidth="1"/>
    <col min="6" max="7" width="12" customWidth="1"/>
    <col min="8" max="8" width="12" bestFit="1" customWidth="1"/>
    <col min="9" max="9" width="13.28515625" customWidth="1"/>
    <col min="11" max="11" width="20.42578125" customWidth="1"/>
  </cols>
  <sheetData>
    <row r="1" spans="1:9" x14ac:dyDescent="0.25">
      <c r="A1" t="s">
        <v>35</v>
      </c>
      <c r="B1" t="s">
        <v>37</v>
      </c>
      <c r="C1" t="s">
        <v>36</v>
      </c>
      <c r="E1" t="s">
        <v>36</v>
      </c>
      <c r="H1" t="s">
        <v>91</v>
      </c>
      <c r="I1" t="s">
        <v>92</v>
      </c>
    </row>
    <row r="2" spans="1:9" x14ac:dyDescent="0.25">
      <c r="A2" t="s">
        <v>13</v>
      </c>
      <c r="B2">
        <v>7.7</v>
      </c>
      <c r="C2" s="3">
        <v>9.8785213425315135</v>
      </c>
      <c r="D2" s="3"/>
      <c r="E2">
        <f>Table2[[#Totals],[Home Pts]]-Table2[[#Totals],[Away Pts]]</f>
        <v>2.90625</v>
      </c>
      <c r="G2" t="s">
        <v>38</v>
      </c>
      <c r="H2">
        <f>SUM(Boxscores!X2:X147)</f>
        <v>13625.704335937497</v>
      </c>
      <c r="I2">
        <f>SUM(Boxscores!Z2:Z149)</f>
        <v>11939.639025824774</v>
      </c>
    </row>
    <row r="3" spans="1:9" x14ac:dyDescent="0.25">
      <c r="A3" t="s">
        <v>31</v>
      </c>
      <c r="B3">
        <v>-9.3000000000000007</v>
      </c>
      <c r="C3" s="3">
        <v>9.7626360322721073</v>
      </c>
      <c r="D3" s="3"/>
      <c r="G3" t="s">
        <v>90</v>
      </c>
      <c r="H3">
        <f>SQRT(H2)</f>
        <v>116.72919230397123</v>
      </c>
      <c r="I3">
        <f>SQRT(I2)</f>
        <v>109.26865527599749</v>
      </c>
    </row>
    <row r="4" spans="1:9" x14ac:dyDescent="0.25">
      <c r="A4" t="s">
        <v>9</v>
      </c>
      <c r="B4">
        <v>-3.7</v>
      </c>
      <c r="C4" s="3">
        <v>8.1036593403090293</v>
      </c>
      <c r="D4" s="3"/>
    </row>
    <row r="5" spans="1:9" x14ac:dyDescent="0.25">
      <c r="A5" t="s">
        <v>10</v>
      </c>
      <c r="B5">
        <v>-8.4</v>
      </c>
      <c r="C5" s="3">
        <v>7.6289989018019355</v>
      </c>
      <c r="D5" s="3"/>
    </row>
    <row r="6" spans="1:9" x14ac:dyDescent="0.25">
      <c r="A6" t="s">
        <v>29</v>
      </c>
      <c r="B6">
        <v>2.9</v>
      </c>
      <c r="C6" s="3">
        <v>7.4821449751982563</v>
      </c>
      <c r="D6" s="3"/>
    </row>
    <row r="7" spans="1:9" x14ac:dyDescent="0.25">
      <c r="A7" t="s">
        <v>22</v>
      </c>
      <c r="B7">
        <v>0</v>
      </c>
      <c r="C7" s="3">
        <v>6.1638067020770082</v>
      </c>
      <c r="D7" s="3"/>
    </row>
    <row r="8" spans="1:9" x14ac:dyDescent="0.25">
      <c r="A8" t="s">
        <v>5</v>
      </c>
      <c r="B8">
        <v>-0.4</v>
      </c>
      <c r="C8" s="3">
        <v>6.0608037705948155</v>
      </c>
      <c r="D8" s="3"/>
    </row>
    <row r="9" spans="1:9" x14ac:dyDescent="0.25">
      <c r="A9" t="s">
        <v>28</v>
      </c>
      <c r="B9">
        <v>2.2000000000000002</v>
      </c>
      <c r="C9" s="3">
        <v>5.454704978400561</v>
      </c>
      <c r="D9" s="3"/>
    </row>
    <row r="10" spans="1:9" x14ac:dyDescent="0.25">
      <c r="A10" t="s">
        <v>7</v>
      </c>
      <c r="B10">
        <v>-1.1000000000000001</v>
      </c>
      <c r="C10" s="3">
        <v>4.3297998414401073</v>
      </c>
      <c r="D10" s="3"/>
    </row>
    <row r="11" spans="1:9" x14ac:dyDescent="0.25">
      <c r="A11" t="s">
        <v>25</v>
      </c>
      <c r="B11">
        <v>0.8</v>
      </c>
      <c r="C11" s="3">
        <v>3.1431288122251075</v>
      </c>
      <c r="D11" s="3"/>
    </row>
    <row r="12" spans="1:9" x14ac:dyDescent="0.25">
      <c r="A12" t="s">
        <v>8</v>
      </c>
      <c r="B12">
        <v>-5.9</v>
      </c>
      <c r="C12" s="3">
        <v>4.1290613741989244</v>
      </c>
      <c r="D12" s="3"/>
    </row>
    <row r="13" spans="1:9" x14ac:dyDescent="0.25">
      <c r="A13" t="s">
        <v>17</v>
      </c>
      <c r="B13">
        <v>3.1</v>
      </c>
      <c r="C13" s="3">
        <v>3.7774263100544272</v>
      </c>
      <c r="D13" s="3"/>
    </row>
    <row r="14" spans="1:9" x14ac:dyDescent="0.25">
      <c r="A14" t="s">
        <v>11</v>
      </c>
      <c r="B14">
        <v>2</v>
      </c>
      <c r="C14" s="3">
        <v>3.7023598956794852</v>
      </c>
      <c r="D14" s="3"/>
    </row>
    <row r="15" spans="1:9" x14ac:dyDescent="0.25">
      <c r="A15" t="s">
        <v>3</v>
      </c>
      <c r="B15">
        <v>-2.2000000000000002</v>
      </c>
      <c r="C15" s="3">
        <v>3.6027961674762472</v>
      </c>
      <c r="D15" s="3"/>
    </row>
    <row r="16" spans="1:9" x14ac:dyDescent="0.25">
      <c r="A16" t="s">
        <v>23</v>
      </c>
      <c r="B16">
        <v>-1.2</v>
      </c>
      <c r="C16" s="3">
        <v>3.4530594003924584</v>
      </c>
      <c r="D16" s="3"/>
    </row>
    <row r="17" spans="1:4" x14ac:dyDescent="0.25">
      <c r="A17" t="s">
        <v>18</v>
      </c>
      <c r="B17">
        <v>2.5</v>
      </c>
      <c r="C17" s="3">
        <v>3.2818982599728059</v>
      </c>
      <c r="D17" s="3"/>
    </row>
    <row r="18" spans="1:4" x14ac:dyDescent="0.25">
      <c r="A18" t="s">
        <v>32</v>
      </c>
      <c r="B18">
        <v>-4.3</v>
      </c>
      <c r="C18" s="3">
        <v>3.0298166790997283</v>
      </c>
      <c r="D18" s="3"/>
    </row>
    <row r="19" spans="1:4" x14ac:dyDescent="0.25">
      <c r="A19" t="s">
        <v>21</v>
      </c>
      <c r="B19">
        <v>4.5999999999999996</v>
      </c>
      <c r="C19" s="3">
        <v>2.9547859447329152</v>
      </c>
      <c r="D19" s="3"/>
    </row>
    <row r="20" spans="1:4" x14ac:dyDescent="0.25">
      <c r="A20" t="s">
        <v>4</v>
      </c>
      <c r="B20">
        <v>-8.6999999999999993</v>
      </c>
      <c r="C20" s="3">
        <v>2.8834049778278459</v>
      </c>
      <c r="D20" s="3"/>
    </row>
    <row r="21" spans="1:4" x14ac:dyDescent="0.25">
      <c r="A21" t="s">
        <v>1</v>
      </c>
      <c r="B21">
        <v>5.4</v>
      </c>
      <c r="C21" s="3">
        <v>1.6600401620982104</v>
      </c>
      <c r="D21" s="3"/>
    </row>
    <row r="22" spans="1:4" x14ac:dyDescent="0.25">
      <c r="A22" t="s">
        <v>2</v>
      </c>
      <c r="B22">
        <v>-0.2</v>
      </c>
      <c r="C22" s="3">
        <v>1.9530653628193224</v>
      </c>
      <c r="D22" s="3"/>
    </row>
    <row r="23" spans="1:4" x14ac:dyDescent="0.25">
      <c r="A23" t="s">
        <v>30</v>
      </c>
      <c r="B23">
        <v>0.9</v>
      </c>
      <c r="C23" s="3">
        <v>0.7187427799936974</v>
      </c>
      <c r="D23" s="3"/>
    </row>
    <row r="24" spans="1:4" x14ac:dyDescent="0.25">
      <c r="A24" t="s">
        <v>16</v>
      </c>
      <c r="B24">
        <v>1.5</v>
      </c>
      <c r="C24" s="3">
        <v>0.69831768912726311</v>
      </c>
      <c r="D24" s="3"/>
    </row>
    <row r="25" spans="1:4" x14ac:dyDescent="0.25">
      <c r="A25" t="s">
        <v>12</v>
      </c>
      <c r="B25">
        <v>-1.4</v>
      </c>
      <c r="C25" s="3">
        <v>0.52982061064001751</v>
      </c>
      <c r="D25" s="3"/>
    </row>
    <row r="26" spans="1:4" x14ac:dyDescent="0.25">
      <c r="A26" t="s">
        <v>26</v>
      </c>
      <c r="B26">
        <v>7.9</v>
      </c>
      <c r="C26" s="3">
        <v>0.10876176078314455</v>
      </c>
      <c r="D26" s="3"/>
    </row>
    <row r="27" spans="1:4" x14ac:dyDescent="0.25">
      <c r="A27" t="s">
        <v>6</v>
      </c>
      <c r="B27">
        <v>4.5999999999999996</v>
      </c>
      <c r="C27" s="3">
        <v>-0.14066172944559915</v>
      </c>
      <c r="D27" s="3"/>
    </row>
    <row r="28" spans="1:4" x14ac:dyDescent="0.25">
      <c r="A28" t="s">
        <v>14</v>
      </c>
      <c r="B28">
        <v>-10.5</v>
      </c>
      <c r="C28" s="3">
        <v>-0.14066203011170092</v>
      </c>
      <c r="D28" s="3"/>
    </row>
    <row r="29" spans="1:4" x14ac:dyDescent="0.25">
      <c r="A29" t="s">
        <v>24</v>
      </c>
      <c r="B29">
        <v>-3.2</v>
      </c>
      <c r="C29" s="3">
        <v>-0.28865064491610992</v>
      </c>
      <c r="D29" s="3"/>
    </row>
    <row r="30" spans="1:4" x14ac:dyDescent="0.25">
      <c r="A30" t="s">
        <v>19</v>
      </c>
      <c r="B30">
        <v>-3.1</v>
      </c>
      <c r="C30" s="3">
        <v>-0.52512190452125573</v>
      </c>
      <c r="D30" s="3"/>
    </row>
    <row r="31" spans="1:4" x14ac:dyDescent="0.25">
      <c r="A31" t="s">
        <v>15</v>
      </c>
      <c r="B31">
        <v>3.3</v>
      </c>
      <c r="C31" s="3">
        <v>-1.5728862968997672</v>
      </c>
      <c r="D31" s="3"/>
    </row>
    <row r="32" spans="1:4" x14ac:dyDescent="0.25">
      <c r="A32" t="s">
        <v>27</v>
      </c>
      <c r="B32">
        <v>8.8000000000000007</v>
      </c>
      <c r="C32" s="3">
        <v>-2.0993963712440706</v>
      </c>
      <c r="D32" s="3"/>
    </row>
    <row r="33" spans="1:4" x14ac:dyDescent="0.25">
      <c r="A33" t="s">
        <v>20</v>
      </c>
      <c r="B33">
        <v>5.8</v>
      </c>
      <c r="C33" s="3">
        <v>-5.0214803659322182</v>
      </c>
      <c r="D33" s="3"/>
    </row>
    <row r="34" spans="1:4" x14ac:dyDescent="0.25">
      <c r="A34" t="s">
        <v>41</v>
      </c>
      <c r="B34">
        <f>SUBTOTAL(101,Table1[Total Rating])</f>
        <v>1.2500000000000039E-2</v>
      </c>
      <c r="C34" s="3">
        <f>SUBTOTAL(101,Table1[Home Edge])</f>
        <v>2.9594594602711317</v>
      </c>
      <c r="D34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4"/>
  <sheetViews>
    <sheetView topLeftCell="A21" workbookViewId="0">
      <selection activeCell="A30" sqref="A30:E45"/>
    </sheetView>
  </sheetViews>
  <sheetFormatPr defaultRowHeight="15" x14ac:dyDescent="0.25"/>
  <cols>
    <col min="1" max="1" width="8.5703125" bestFit="1" customWidth="1"/>
    <col min="2" max="3" width="21.140625" bestFit="1" customWidth="1"/>
    <col min="4" max="4" width="14.7109375" bestFit="1" customWidth="1"/>
    <col min="5" max="5" width="16.42578125" bestFit="1" customWidth="1"/>
    <col min="6" max="6" width="18.5703125" bestFit="1" customWidth="1"/>
    <col min="7" max="7" width="20.7109375" style="2" bestFit="1" customWidth="1"/>
    <col min="8" max="8" width="18.140625" customWidth="1"/>
    <col min="9" max="9" width="20.28515625" bestFit="1" customWidth="1"/>
    <col min="10" max="10" width="17.7109375" customWidth="1"/>
    <col min="11" max="11" width="20.28515625" bestFit="1" customWidth="1"/>
    <col min="12" max="12" width="18.140625" bestFit="1" customWidth="1"/>
    <col min="13" max="13" width="18.7109375" customWidth="1"/>
  </cols>
  <sheetData>
    <row r="1" spans="1:13" x14ac:dyDescent="0.25">
      <c r="A1" t="s">
        <v>0</v>
      </c>
      <c r="B1" t="s">
        <v>52</v>
      </c>
      <c r="C1" t="s">
        <v>53</v>
      </c>
      <c r="D1" t="s">
        <v>48</v>
      </c>
      <c r="E1" t="s">
        <v>49</v>
      </c>
      <c r="F1" t="s">
        <v>50</v>
      </c>
      <c r="G1" s="2" t="s">
        <v>56</v>
      </c>
      <c r="H1" t="s">
        <v>57</v>
      </c>
      <c r="I1" t="s">
        <v>58</v>
      </c>
      <c r="J1" t="s">
        <v>51</v>
      </c>
      <c r="K1" t="s">
        <v>54</v>
      </c>
      <c r="L1" t="s">
        <v>59</v>
      </c>
      <c r="M1" t="s">
        <v>55</v>
      </c>
    </row>
    <row r="2" spans="1:13" x14ac:dyDescent="0.25">
      <c r="A2">
        <v>10</v>
      </c>
      <c r="B2" t="s">
        <v>5</v>
      </c>
      <c r="C2" t="s">
        <v>14</v>
      </c>
      <c r="D2">
        <v>-10.5</v>
      </c>
      <c r="E2">
        <v>-8</v>
      </c>
      <c r="F2">
        <v>-535</v>
      </c>
      <c r="G2" s="2">
        <f>IF(Table3[[#This Row],[Open ML (Home)]]&lt;0,-Table3[[#This Row],[Open ML (Home)]]/(-Table3[[#This Row],[Open ML (Home)]]+100),100/(Table3[[#This Row],[Open ML (Home)]]+100))</f>
        <v>0.84251968503937003</v>
      </c>
      <c r="H2">
        <v>-405</v>
      </c>
      <c r="I2" s="2">
        <f>IF(Table3[[#This Row],[Close ML (Home)]]&lt;0,-Table3[[#This Row],[Close ML (Home)]]/(-Table3[[#This Row],[Close ML (Home)]]+100),100/(Table3[[#This Row],[Close ML (Home)]]+100))</f>
        <v>0.80198019801980203</v>
      </c>
      <c r="J2">
        <v>410</v>
      </c>
      <c r="K2" s="2">
        <f>IF(Table3[[#This Row],[Open ML (Away)]]&lt;0,-Table3[[#This Row],[Open ML (Away)]]/(-Table3[[#This Row],[Open ML (Away)]]+100),100/(Table3[[#This Row],[Open ML (Away)]]+100))</f>
        <v>0.19607843137254902</v>
      </c>
      <c r="L2">
        <v>305</v>
      </c>
      <c r="M2" s="2">
        <f>IF(Table3[[#This Row],[Close ML (Away)]]&lt;0,-Table3[[#This Row],[Close ML (Away)]]/(-Table3[[#This Row],[Close ML (Away)]]+100),100/(Table3[[#This Row],[Close ML (Away)]]+100))</f>
        <v>0.24691358024691357</v>
      </c>
    </row>
    <row r="3" spans="1:13" x14ac:dyDescent="0.25">
      <c r="A3">
        <v>10</v>
      </c>
      <c r="B3" t="s">
        <v>13</v>
      </c>
      <c r="C3" t="s">
        <v>20</v>
      </c>
      <c r="D3">
        <v>0</v>
      </c>
      <c r="E3">
        <v>0</v>
      </c>
      <c r="F3">
        <v>-110</v>
      </c>
      <c r="G3" s="2">
        <f>IF(Table3[[#This Row],[Open ML (Home)]]&lt;0,-Table3[[#This Row],[Open ML (Home)]]/(-Table3[[#This Row],[Open ML (Home)]]+100),100/(Table3[[#This Row],[Open ML (Home)]]+100))</f>
        <v>0.52380952380952384</v>
      </c>
      <c r="H3">
        <v>-110</v>
      </c>
      <c r="I3" s="5">
        <f>IF(Table3[[#This Row],[Close ML (Home)]]&lt;0,-Table3[[#This Row],[Close ML (Home)]]/(-Table3[[#This Row],[Close ML (Home)]]+100),100/(Table3[[#This Row],[Close ML (Home)]]+100))</f>
        <v>0.52380952380952384</v>
      </c>
      <c r="J3">
        <v>-110</v>
      </c>
      <c r="K3" s="2">
        <f>IF(Table3[[#This Row],[Open ML (Away)]]&lt;0,-Table3[[#This Row],[Open ML (Away)]]/(-Table3[[#This Row],[Open ML (Away)]]+100),100/(Table3[[#This Row],[Open ML (Away)]]+100))</f>
        <v>0.52380952380952384</v>
      </c>
      <c r="L3">
        <v>-110</v>
      </c>
      <c r="M3" s="5">
        <f>IF(Table3[[#This Row],[Close ML (Away)]]&lt;0,-Table3[[#This Row],[Close ML (Away)]]/(-Table3[[#This Row],[Close ML (Away)]]+100),100/(Table3[[#This Row],[Close ML (Away)]]+100))</f>
        <v>0.52380952380952384</v>
      </c>
    </row>
    <row r="4" spans="1:13" x14ac:dyDescent="0.25">
      <c r="A4">
        <v>10</v>
      </c>
      <c r="B4" t="s">
        <v>8</v>
      </c>
      <c r="C4" t="s">
        <v>32</v>
      </c>
      <c r="D4">
        <v>-2</v>
      </c>
      <c r="E4">
        <v>0</v>
      </c>
      <c r="F4">
        <v>-135</v>
      </c>
      <c r="G4" s="2">
        <f>IF(Table3[[#This Row],[Open ML (Home)]]&lt;0,-Table3[[#This Row],[Open ML (Home)]]/(-Table3[[#This Row],[Open ML (Home)]]+100),100/(Table3[[#This Row],[Open ML (Home)]]+100))</f>
        <v>0.57446808510638303</v>
      </c>
      <c r="H4">
        <v>-110</v>
      </c>
      <c r="I4" s="5">
        <f>IF(Table3[[#This Row],[Close ML (Home)]]&lt;0,-Table3[[#This Row],[Close ML (Home)]]/(-Table3[[#This Row],[Close ML (Home)]]+100),100/(Table3[[#This Row],[Close ML (Home)]]+100))</f>
        <v>0.52380952380952384</v>
      </c>
      <c r="J4">
        <v>105</v>
      </c>
      <c r="K4" s="2">
        <f>IF(Table3[[#This Row],[Open ML (Away)]]&lt;0,-Table3[[#This Row],[Open ML (Away)]]/(-Table3[[#This Row],[Open ML (Away)]]+100),100/(Table3[[#This Row],[Open ML (Away)]]+100))</f>
        <v>0.48780487804878048</v>
      </c>
      <c r="L4">
        <v>-110</v>
      </c>
      <c r="M4" s="5">
        <f>IF(Table3[[#This Row],[Close ML (Away)]]&lt;0,-Table3[[#This Row],[Close ML (Away)]]/(-Table3[[#This Row],[Close ML (Away)]]+100),100/(Table3[[#This Row],[Close ML (Away)]]+100))</f>
        <v>0.52380952380952384</v>
      </c>
    </row>
    <row r="5" spans="1:13" x14ac:dyDescent="0.25">
      <c r="A5">
        <v>10</v>
      </c>
      <c r="B5" t="s">
        <v>12</v>
      </c>
      <c r="C5" t="s">
        <v>3</v>
      </c>
      <c r="D5">
        <v>3</v>
      </c>
      <c r="E5">
        <v>3</v>
      </c>
      <c r="F5">
        <v>120</v>
      </c>
      <c r="G5" s="2">
        <f>IF(Table3[[#This Row],[Open ML (Home)]]&lt;0,-Table3[[#This Row],[Open ML (Home)]]/(-Table3[[#This Row],[Open ML (Home)]]+100),100/(Table3[[#This Row],[Open ML (Home)]]+100))</f>
        <v>0.45454545454545453</v>
      </c>
      <c r="H5">
        <v>115</v>
      </c>
      <c r="I5" s="5">
        <f>IF(Table3[[#This Row],[Close ML (Home)]]&lt;0,-Table3[[#This Row],[Close ML (Home)]]/(-Table3[[#This Row],[Close ML (Home)]]+100),100/(Table3[[#This Row],[Close ML (Home)]]+100))</f>
        <v>0.46511627906976744</v>
      </c>
      <c r="J5">
        <v>-150</v>
      </c>
      <c r="K5" s="2">
        <f>IF(Table3[[#This Row],[Open ML (Away)]]&lt;0,-Table3[[#This Row],[Open ML (Away)]]/(-Table3[[#This Row],[Open ML (Away)]]+100),100/(Table3[[#This Row],[Open ML (Away)]]+100))</f>
        <v>0.6</v>
      </c>
      <c r="L5">
        <v>-145</v>
      </c>
      <c r="M5" s="5">
        <f>IF(Table3[[#This Row],[Close ML (Away)]]&lt;0,-Table3[[#This Row],[Close ML (Away)]]/(-Table3[[#This Row],[Close ML (Away)]]+100),100/(Table3[[#This Row],[Close ML (Away)]]+100))</f>
        <v>0.59183673469387754</v>
      </c>
    </row>
    <row r="6" spans="1:13" x14ac:dyDescent="0.25">
      <c r="A6">
        <v>10</v>
      </c>
      <c r="B6" t="s">
        <v>16</v>
      </c>
      <c r="C6" t="s">
        <v>1</v>
      </c>
      <c r="D6">
        <v>-2</v>
      </c>
      <c r="E6">
        <v>-3</v>
      </c>
      <c r="F6">
        <v>-135</v>
      </c>
      <c r="G6" s="2">
        <f>IF(Table3[[#This Row],[Open ML (Home)]]&lt;0,-Table3[[#This Row],[Open ML (Home)]]/(-Table3[[#This Row],[Open ML (Home)]]+100),100/(Table3[[#This Row],[Open ML (Home)]]+100))</f>
        <v>0.57446808510638303</v>
      </c>
      <c r="H6">
        <v>-165</v>
      </c>
      <c r="I6" s="5">
        <f>IF(Table3[[#This Row],[Close ML (Home)]]&lt;0,-Table3[[#This Row],[Close ML (Home)]]/(-Table3[[#This Row],[Close ML (Home)]]+100),100/(Table3[[#This Row],[Close ML (Home)]]+100))</f>
        <v>0.62264150943396224</v>
      </c>
      <c r="J6">
        <v>130</v>
      </c>
      <c r="K6" s="2">
        <f>IF(Table3[[#This Row],[Open ML (Away)]]&lt;0,-Table3[[#This Row],[Open ML (Away)]]/(-Table3[[#This Row],[Open ML (Away)]]+100),100/(Table3[[#This Row],[Open ML (Away)]]+100))</f>
        <v>0.43478260869565216</v>
      </c>
      <c r="L6">
        <v>135</v>
      </c>
      <c r="M6" s="5">
        <f>IF(Table3[[#This Row],[Close ML (Away)]]&lt;0,-Table3[[#This Row],[Close ML (Away)]]/(-Table3[[#This Row],[Close ML (Away)]]+100),100/(Table3[[#This Row],[Close ML (Away)]]+100))</f>
        <v>0.42553191489361702</v>
      </c>
    </row>
    <row r="7" spans="1:13" x14ac:dyDescent="0.25">
      <c r="A7">
        <v>10</v>
      </c>
      <c r="B7" t="s">
        <v>2</v>
      </c>
      <c r="C7" t="s">
        <v>17</v>
      </c>
      <c r="D7">
        <v>-3.5</v>
      </c>
      <c r="E7">
        <v>-3.5</v>
      </c>
      <c r="F7">
        <v>-175</v>
      </c>
      <c r="G7" s="2">
        <f>IF(Table3[[#This Row],[Open ML (Home)]]&lt;0,-Table3[[#This Row],[Open ML (Home)]]/(-Table3[[#This Row],[Open ML (Home)]]+100),100/(Table3[[#This Row],[Open ML (Home)]]+100))</f>
        <v>0.63636363636363635</v>
      </c>
      <c r="H7">
        <v>-180</v>
      </c>
      <c r="I7" s="5">
        <f>IF(Table3[[#This Row],[Close ML (Home)]]&lt;0,-Table3[[#This Row],[Close ML (Home)]]/(-Table3[[#This Row],[Close ML (Home)]]+100),100/(Table3[[#This Row],[Close ML (Home)]]+100))</f>
        <v>0.6428571428571429</v>
      </c>
      <c r="J7">
        <v>145</v>
      </c>
      <c r="K7" s="2">
        <f>IF(Table3[[#This Row],[Open ML (Away)]]&lt;0,-Table3[[#This Row],[Open ML (Away)]]/(-Table3[[#This Row],[Open ML (Away)]]+100),100/(Table3[[#This Row],[Open ML (Away)]]+100))</f>
        <v>0.40816326530612246</v>
      </c>
      <c r="L7">
        <v>150</v>
      </c>
      <c r="M7" s="5">
        <f>IF(Table3[[#This Row],[Close ML (Away)]]&lt;0,-Table3[[#This Row],[Close ML (Away)]]/(-Table3[[#This Row],[Close ML (Away)]]+100),100/(Table3[[#This Row],[Close ML (Away)]]+100))</f>
        <v>0.4</v>
      </c>
    </row>
    <row r="8" spans="1:13" x14ac:dyDescent="0.25">
      <c r="A8">
        <v>10</v>
      </c>
      <c r="B8" t="s">
        <v>4</v>
      </c>
      <c r="C8" t="s">
        <v>9</v>
      </c>
      <c r="D8">
        <v>2</v>
      </c>
      <c r="E8">
        <v>-2.5</v>
      </c>
      <c r="F8">
        <v>105</v>
      </c>
      <c r="G8" s="2">
        <f>IF(Table3[[#This Row],[Open ML (Home)]]&lt;0,-Table3[[#This Row],[Open ML (Home)]]/(-Table3[[#This Row],[Open ML (Home)]]+100),100/(Table3[[#This Row],[Open ML (Home)]]+100))</f>
        <v>0.48780487804878048</v>
      </c>
      <c r="H8">
        <v>-145</v>
      </c>
      <c r="I8" s="5">
        <f>IF(Table3[[#This Row],[Close ML (Home)]]&lt;0,-Table3[[#This Row],[Close ML (Home)]]/(-Table3[[#This Row],[Close ML (Home)]]+100),100/(Table3[[#This Row],[Close ML (Home)]]+100))</f>
        <v>0.59183673469387754</v>
      </c>
      <c r="J8">
        <v>-135</v>
      </c>
      <c r="K8" s="2">
        <f>IF(Table3[[#This Row],[Open ML (Away)]]&lt;0,-Table3[[#This Row],[Open ML (Away)]]/(-Table3[[#This Row],[Open ML (Away)]]+100),100/(Table3[[#This Row],[Open ML (Away)]]+100))</f>
        <v>0.57446808510638303</v>
      </c>
      <c r="L8">
        <v>115</v>
      </c>
      <c r="M8" s="5">
        <f>IF(Table3[[#This Row],[Close ML (Away)]]&lt;0,-Table3[[#This Row],[Close ML (Away)]]/(-Table3[[#This Row],[Close ML (Away)]]+100),100/(Table3[[#This Row],[Close ML (Away)]]+100))</f>
        <v>0.46511627906976744</v>
      </c>
    </row>
    <row r="9" spans="1:13" x14ac:dyDescent="0.25">
      <c r="A9">
        <v>10</v>
      </c>
      <c r="B9" t="s">
        <v>30</v>
      </c>
      <c r="C9" t="s">
        <v>11</v>
      </c>
      <c r="D9">
        <v>-3</v>
      </c>
      <c r="E9">
        <v>-2</v>
      </c>
      <c r="F9">
        <v>-165</v>
      </c>
      <c r="G9" s="2">
        <f>IF(Table3[[#This Row],[Open ML (Home)]]&lt;0,-Table3[[#This Row],[Open ML (Home)]]/(-Table3[[#This Row],[Open ML (Home)]]+100),100/(Table3[[#This Row],[Open ML (Home)]]+100))</f>
        <v>0.62264150943396224</v>
      </c>
      <c r="H9">
        <v>-135</v>
      </c>
      <c r="I9" s="5">
        <f>IF(Table3[[#This Row],[Close ML (Home)]]&lt;0,-Table3[[#This Row],[Close ML (Home)]]/(-Table3[[#This Row],[Close ML (Home)]]+100),100/(Table3[[#This Row],[Close ML (Home)]]+100))</f>
        <v>0.57446808510638303</v>
      </c>
      <c r="J9">
        <v>135</v>
      </c>
      <c r="K9" s="2">
        <f>IF(Table3[[#This Row],[Open ML (Away)]]&lt;0,-Table3[[#This Row],[Open ML (Away)]]/(-Table3[[#This Row],[Open ML (Away)]]+100),100/(Table3[[#This Row],[Open ML (Away)]]+100))</f>
        <v>0.42553191489361702</v>
      </c>
      <c r="L9">
        <v>105</v>
      </c>
      <c r="M9" s="5">
        <f>IF(Table3[[#This Row],[Close ML (Away)]]&lt;0,-Table3[[#This Row],[Close ML (Away)]]/(-Table3[[#This Row],[Close ML (Away)]]+100),100/(Table3[[#This Row],[Close ML (Away)]]+100))</f>
        <v>0.48780487804878048</v>
      </c>
    </row>
    <row r="10" spans="1:13" x14ac:dyDescent="0.25">
      <c r="A10">
        <v>10</v>
      </c>
      <c r="B10" t="s">
        <v>19</v>
      </c>
      <c r="C10" t="s">
        <v>10</v>
      </c>
      <c r="D10">
        <v>1</v>
      </c>
      <c r="E10">
        <v>2</v>
      </c>
      <c r="F10">
        <v>100</v>
      </c>
      <c r="G10" s="2">
        <f>IF(Table3[[#This Row],[Open ML (Home)]]&lt;0,-Table3[[#This Row],[Open ML (Home)]]/(-Table3[[#This Row],[Open ML (Home)]]+100),100/(Table3[[#This Row],[Open ML (Home)]]+100))</f>
        <v>0.5</v>
      </c>
      <c r="H10">
        <v>105</v>
      </c>
      <c r="I10" s="5">
        <f>IF(Table3[[#This Row],[Close ML (Home)]]&lt;0,-Table3[[#This Row],[Close ML (Home)]]/(-Table3[[#This Row],[Close ML (Home)]]+100),100/(Table3[[#This Row],[Close ML (Home)]]+100))</f>
        <v>0.48780487804878048</v>
      </c>
      <c r="J10">
        <v>-120</v>
      </c>
      <c r="K10" s="2">
        <f>IF(Table3[[#This Row],[Open ML (Away)]]&lt;0,-Table3[[#This Row],[Open ML (Away)]]/(-Table3[[#This Row],[Open ML (Away)]]+100),100/(Table3[[#This Row],[Open ML (Away)]]+100))</f>
        <v>0.54545454545454541</v>
      </c>
      <c r="L10">
        <v>-135</v>
      </c>
      <c r="M10" s="5">
        <f>IF(Table3[[#This Row],[Close ML (Away)]]&lt;0,-Table3[[#This Row],[Close ML (Away)]]/(-Table3[[#This Row],[Close ML (Away)]]+100),100/(Table3[[#This Row],[Close ML (Away)]]+100))</f>
        <v>0.57446808510638303</v>
      </c>
    </row>
    <row r="11" spans="1:13" x14ac:dyDescent="0.25">
      <c r="A11">
        <v>10</v>
      </c>
      <c r="B11" t="s">
        <v>18</v>
      </c>
      <c r="C11" t="s">
        <v>22</v>
      </c>
      <c r="D11">
        <v>-4.5</v>
      </c>
      <c r="E11">
        <v>-5</v>
      </c>
      <c r="F11">
        <v>-225</v>
      </c>
      <c r="G11" s="2">
        <f>IF(Table3[[#This Row],[Open ML (Home)]]&lt;0,-Table3[[#This Row],[Open ML (Home)]]/(-Table3[[#This Row],[Open ML (Home)]]+100),100/(Table3[[#This Row],[Open ML (Home)]]+100))</f>
        <v>0.69230769230769229</v>
      </c>
      <c r="H11">
        <v>-225</v>
      </c>
      <c r="I11" s="5">
        <f>IF(Table3[[#This Row],[Close ML (Home)]]&lt;0,-Table3[[#This Row],[Close ML (Home)]]/(-Table3[[#This Row],[Close ML (Home)]]+100),100/(Table3[[#This Row],[Close ML (Home)]]+100))</f>
        <v>0.69230769230769229</v>
      </c>
      <c r="J11">
        <v>175</v>
      </c>
      <c r="K11" s="2">
        <f>IF(Table3[[#This Row],[Open ML (Away)]]&lt;0,-Table3[[#This Row],[Open ML (Away)]]/(-Table3[[#This Row],[Open ML (Away)]]+100),100/(Table3[[#This Row],[Open ML (Away)]]+100))</f>
        <v>0.36363636363636365</v>
      </c>
      <c r="L11">
        <v>175</v>
      </c>
      <c r="M11" s="5">
        <f>IF(Table3[[#This Row],[Close ML (Away)]]&lt;0,-Table3[[#This Row],[Close ML (Away)]]/(-Table3[[#This Row],[Close ML (Away)]]+100),100/(Table3[[#This Row],[Close ML (Away)]]+100))</f>
        <v>0.36363636363636365</v>
      </c>
    </row>
    <row r="12" spans="1:13" x14ac:dyDescent="0.25">
      <c r="A12">
        <v>10</v>
      </c>
      <c r="B12" t="s">
        <v>29</v>
      </c>
      <c r="C12" t="s">
        <v>26</v>
      </c>
      <c r="D12">
        <v>-2.5</v>
      </c>
      <c r="E12">
        <v>-3</v>
      </c>
      <c r="F12">
        <v>-140</v>
      </c>
      <c r="G12" s="2">
        <f>IF(Table3[[#This Row],[Open ML (Home)]]&lt;0,-Table3[[#This Row],[Open ML (Home)]]/(-Table3[[#This Row],[Open ML (Home)]]+100),100/(Table3[[#This Row],[Open ML (Home)]]+100))</f>
        <v>0.58333333333333337</v>
      </c>
      <c r="H12">
        <v>-160</v>
      </c>
      <c r="I12" s="5">
        <f>IF(Table3[[#This Row],[Close ML (Home)]]&lt;0,-Table3[[#This Row],[Close ML (Home)]]/(-Table3[[#This Row],[Close ML (Home)]]+100),100/(Table3[[#This Row],[Close ML (Home)]]+100))</f>
        <v>0.61538461538461542</v>
      </c>
      <c r="J12">
        <v>110</v>
      </c>
      <c r="K12" s="2">
        <f>IF(Table3[[#This Row],[Open ML (Away)]]&lt;0,-Table3[[#This Row],[Open ML (Away)]]/(-Table3[[#This Row],[Open ML (Away)]]+100),100/(Table3[[#This Row],[Open ML (Away)]]+100))</f>
        <v>0.47619047619047616</v>
      </c>
      <c r="L12">
        <v>130</v>
      </c>
      <c r="M12" s="5">
        <f>IF(Table3[[#This Row],[Close ML (Away)]]&lt;0,-Table3[[#This Row],[Close ML (Away)]]/(-Table3[[#This Row],[Close ML (Away)]]+100),100/(Table3[[#This Row],[Close ML (Away)]]+100))</f>
        <v>0.43478260869565216</v>
      </c>
    </row>
    <row r="13" spans="1:13" x14ac:dyDescent="0.25">
      <c r="A13">
        <v>10</v>
      </c>
      <c r="B13" t="s">
        <v>28</v>
      </c>
      <c r="C13" t="s">
        <v>31</v>
      </c>
      <c r="D13">
        <v>-14</v>
      </c>
      <c r="E13">
        <v>-14</v>
      </c>
      <c r="F13">
        <v>-900</v>
      </c>
      <c r="G13" s="2">
        <f>IF(Table3[[#This Row],[Open ML (Home)]]&lt;0,-Table3[[#This Row],[Open ML (Home)]]/(-Table3[[#This Row],[Open ML (Home)]]+100),100/(Table3[[#This Row],[Open ML (Home)]]+100))</f>
        <v>0.9</v>
      </c>
      <c r="H13">
        <v>-950</v>
      </c>
      <c r="I13" s="5">
        <f>IF(Table3[[#This Row],[Close ML (Home)]]&lt;0,-Table3[[#This Row],[Close ML (Home)]]/(-Table3[[#This Row],[Close ML (Home)]]+100),100/(Table3[[#This Row],[Close ML (Home)]]+100))</f>
        <v>0.90476190476190477</v>
      </c>
      <c r="J13">
        <v>650</v>
      </c>
      <c r="K13" s="2">
        <f>IF(Table3[[#This Row],[Open ML (Away)]]&lt;0,-Table3[[#This Row],[Open ML (Away)]]/(-Table3[[#This Row],[Open ML (Away)]]+100),100/(Table3[[#This Row],[Open ML (Away)]]+100))</f>
        <v>0.13333333333333333</v>
      </c>
      <c r="L13">
        <v>650</v>
      </c>
      <c r="M13" s="5">
        <f>IF(Table3[[#This Row],[Close ML (Away)]]&lt;0,-Table3[[#This Row],[Close ML (Away)]]/(-Table3[[#This Row],[Close ML (Away)]]+100),100/(Table3[[#This Row],[Close ML (Away)]]+100))</f>
        <v>0.13333333333333333</v>
      </c>
    </row>
    <row r="14" spans="1:13" x14ac:dyDescent="0.25">
      <c r="A14">
        <v>10</v>
      </c>
      <c r="B14" t="s">
        <v>27</v>
      </c>
      <c r="C14" t="s">
        <v>21</v>
      </c>
      <c r="D14">
        <v>-7.5</v>
      </c>
      <c r="E14">
        <v>-7.5</v>
      </c>
      <c r="F14">
        <v>-365</v>
      </c>
      <c r="G14" s="2">
        <f>IF(Table3[[#This Row],[Open ML (Home)]]&lt;0,-Table3[[#This Row],[Open ML (Home)]]/(-Table3[[#This Row],[Open ML (Home)]]+100),100/(Table3[[#This Row],[Open ML (Home)]]+100))</f>
        <v>0.78494623655913975</v>
      </c>
      <c r="H14">
        <v>-350</v>
      </c>
      <c r="I14" s="5">
        <f>IF(Table3[[#This Row],[Close ML (Home)]]&lt;0,-Table3[[#This Row],[Close ML (Home)]]/(-Table3[[#This Row],[Close ML (Home)]]+100),100/(Table3[[#This Row],[Close ML (Home)]]+100))</f>
        <v>0.77777777777777779</v>
      </c>
      <c r="J14">
        <v>295</v>
      </c>
      <c r="K14" s="2">
        <f>IF(Table3[[#This Row],[Open ML (Away)]]&lt;0,-Table3[[#This Row],[Open ML (Away)]]/(-Table3[[#This Row],[Open ML (Away)]]+100),100/(Table3[[#This Row],[Open ML (Away)]]+100))</f>
        <v>0.25316455696202533</v>
      </c>
      <c r="L14">
        <v>280</v>
      </c>
      <c r="M14" s="5">
        <f>IF(Table3[[#This Row],[Close ML (Away)]]&lt;0,-Table3[[#This Row],[Close ML (Away)]]/(-Table3[[#This Row],[Close ML (Away)]]+100),100/(Table3[[#This Row],[Close ML (Away)]]+100))</f>
        <v>0.26315789473684209</v>
      </c>
    </row>
    <row r="15" spans="1:13" s="9" customFormat="1" ht="15.75" thickBot="1" x14ac:dyDescent="0.3">
      <c r="A15" s="9">
        <v>10</v>
      </c>
      <c r="B15" s="9" t="s">
        <v>25</v>
      </c>
      <c r="C15" s="9" t="s">
        <v>7</v>
      </c>
      <c r="D15" s="9">
        <v>-2.5</v>
      </c>
      <c r="E15" s="9">
        <v>1.5</v>
      </c>
      <c r="F15" s="9">
        <v>-135</v>
      </c>
      <c r="G15" s="10">
        <f>IF(Table3[[#This Row],[Open ML (Home)]]&lt;0,-Table3[[#This Row],[Open ML (Home)]]/(-Table3[[#This Row],[Open ML (Home)]]+100),100/(Table3[[#This Row],[Open ML (Home)]]+100))</f>
        <v>0.57446808510638303</v>
      </c>
      <c r="H15" s="9">
        <v>100</v>
      </c>
      <c r="I15" s="11">
        <f>IF(Table3[[#This Row],[Close ML (Home)]]&lt;0,-Table3[[#This Row],[Close ML (Home)]]/(-Table3[[#This Row],[Close ML (Home)]]+100),100/(Table3[[#This Row],[Close ML (Home)]]+100))</f>
        <v>0.5</v>
      </c>
      <c r="J15" s="9">
        <v>105</v>
      </c>
      <c r="K15" s="10">
        <f>IF(Table3[[#This Row],[Open ML (Away)]]&lt;0,-Table3[[#This Row],[Open ML (Away)]]/(-Table3[[#This Row],[Open ML (Away)]]+100),100/(Table3[[#This Row],[Open ML (Away)]]+100))</f>
        <v>0.48780487804878048</v>
      </c>
      <c r="L15" s="9">
        <v>-130</v>
      </c>
      <c r="M15" s="11">
        <f>IF(Table3[[#This Row],[Close ML (Away)]]&lt;0,-Table3[[#This Row],[Close ML (Away)]]/(-Table3[[#This Row],[Close ML (Away)]]+100),100/(Table3[[#This Row],[Close ML (Away)]]+100))</f>
        <v>0.56521739130434778</v>
      </c>
    </row>
    <row r="16" spans="1:13" x14ac:dyDescent="0.25">
      <c r="A16">
        <v>11</v>
      </c>
      <c r="B16" t="s">
        <v>2</v>
      </c>
      <c r="C16" t="s">
        <v>16</v>
      </c>
      <c r="D16">
        <v>-4</v>
      </c>
      <c r="E16">
        <v>-3.5</v>
      </c>
      <c r="G16" s="2">
        <f>IF(Table3[[#This Row],[Open ML (Home)]]&lt;0,-Table3[[#This Row],[Open ML (Home)]]/(-Table3[[#This Row],[Open ML (Home)]]+100),100/(Table3[[#This Row],[Open ML (Home)]]+100))</f>
        <v>1</v>
      </c>
      <c r="I16" s="5">
        <f>IF(Table3[[#This Row],[Close ML (Home)]]&lt;0,-Table3[[#This Row],[Close ML (Home)]]/(-Table3[[#This Row],[Close ML (Home)]]+100),100/(Table3[[#This Row],[Close ML (Home)]]+100))</f>
        <v>1</v>
      </c>
      <c r="K16" s="5">
        <f>IF(Table3[[#This Row],[Open ML (Away)]]&lt;0,-Table3[[#This Row],[Open ML (Away)]]/(-Table3[[#This Row],[Open ML (Away)]]+100),100/(Table3[[#This Row],[Open ML (Away)]]+100))</f>
        <v>1</v>
      </c>
      <c r="M16" s="5">
        <f>IF(Table3[[#This Row],[Close ML (Away)]]&lt;0,-Table3[[#This Row],[Close ML (Away)]]/(-Table3[[#This Row],[Close ML (Away)]]+100),100/(Table3[[#This Row],[Close ML (Away)]]+100))</f>
        <v>1</v>
      </c>
    </row>
    <row r="17" spans="1:13" x14ac:dyDescent="0.25">
      <c r="A17">
        <v>11</v>
      </c>
      <c r="B17" t="s">
        <v>7</v>
      </c>
      <c r="C17" t="s">
        <v>6</v>
      </c>
      <c r="D17">
        <v>-3</v>
      </c>
      <c r="E17">
        <v>-2.5</v>
      </c>
      <c r="G17" s="2">
        <f>IF(Table3[[#This Row],[Open ML (Home)]]&lt;0,-Table3[[#This Row],[Open ML (Home)]]/(-Table3[[#This Row],[Open ML (Home)]]+100),100/(Table3[[#This Row],[Open ML (Home)]]+100))</f>
        <v>1</v>
      </c>
      <c r="I17" s="5">
        <f>IF(Table3[[#This Row],[Close ML (Home)]]&lt;0,-Table3[[#This Row],[Close ML (Home)]]/(-Table3[[#This Row],[Close ML (Home)]]+100),100/(Table3[[#This Row],[Close ML (Home)]]+100))</f>
        <v>1</v>
      </c>
      <c r="K17" s="5">
        <f>IF(Table3[[#This Row],[Open ML (Away)]]&lt;0,-Table3[[#This Row],[Open ML (Away)]]/(-Table3[[#This Row],[Open ML (Away)]]+100),100/(Table3[[#This Row],[Open ML (Away)]]+100))</f>
        <v>1</v>
      </c>
      <c r="M17" s="5">
        <f>IF(Table3[[#This Row],[Close ML (Away)]]&lt;0,-Table3[[#This Row],[Close ML (Away)]]/(-Table3[[#This Row],[Close ML (Away)]]+100),100/(Table3[[#This Row],[Close ML (Away)]]+100))</f>
        <v>1</v>
      </c>
    </row>
    <row r="18" spans="1:13" x14ac:dyDescent="0.25">
      <c r="A18">
        <v>11</v>
      </c>
      <c r="B18" t="s">
        <v>26</v>
      </c>
      <c r="C18" t="s">
        <v>5</v>
      </c>
      <c r="D18">
        <v>-7</v>
      </c>
      <c r="E18">
        <v>-7.5</v>
      </c>
      <c r="G18" s="2">
        <f>IF(Table3[[#This Row],[Open ML (Home)]]&lt;0,-Table3[[#This Row],[Open ML (Home)]]/(-Table3[[#This Row],[Open ML (Home)]]+100),100/(Table3[[#This Row],[Open ML (Home)]]+100))</f>
        <v>1</v>
      </c>
      <c r="I18" s="5">
        <f>IF(Table3[[#This Row],[Close ML (Home)]]&lt;0,-Table3[[#This Row],[Close ML (Home)]]/(-Table3[[#This Row],[Close ML (Home)]]+100),100/(Table3[[#This Row],[Close ML (Home)]]+100))</f>
        <v>1</v>
      </c>
      <c r="K18" s="5">
        <f>IF(Table3[[#This Row],[Open ML (Away)]]&lt;0,-Table3[[#This Row],[Open ML (Away)]]/(-Table3[[#This Row],[Open ML (Away)]]+100),100/(Table3[[#This Row],[Open ML (Away)]]+100))</f>
        <v>1</v>
      </c>
      <c r="M18" s="5">
        <f>IF(Table3[[#This Row],[Close ML (Away)]]&lt;0,-Table3[[#This Row],[Close ML (Away)]]/(-Table3[[#This Row],[Close ML (Away)]]+100),100/(Table3[[#This Row],[Close ML (Away)]]+100))</f>
        <v>1</v>
      </c>
    </row>
    <row r="19" spans="1:13" x14ac:dyDescent="0.25">
      <c r="A19">
        <v>11</v>
      </c>
      <c r="B19" t="s">
        <v>14</v>
      </c>
      <c r="C19" t="s">
        <v>29</v>
      </c>
      <c r="D19">
        <v>9</v>
      </c>
      <c r="E19">
        <v>8</v>
      </c>
      <c r="G19" s="2">
        <f>IF(Table3[[#This Row],[Open ML (Home)]]&lt;0,-Table3[[#This Row],[Open ML (Home)]]/(-Table3[[#This Row],[Open ML (Home)]]+100),100/(Table3[[#This Row],[Open ML (Home)]]+100))</f>
        <v>1</v>
      </c>
      <c r="I19" s="5">
        <f>IF(Table3[[#This Row],[Close ML (Home)]]&lt;0,-Table3[[#This Row],[Close ML (Home)]]/(-Table3[[#This Row],[Close ML (Home)]]+100),100/(Table3[[#This Row],[Close ML (Home)]]+100))</f>
        <v>1</v>
      </c>
      <c r="K19" s="5">
        <f>IF(Table3[[#This Row],[Open ML (Away)]]&lt;0,-Table3[[#This Row],[Open ML (Away)]]/(-Table3[[#This Row],[Open ML (Away)]]+100),100/(Table3[[#This Row],[Open ML (Away)]]+100))</f>
        <v>1</v>
      </c>
      <c r="M19" s="5">
        <f>IF(Table3[[#This Row],[Close ML (Away)]]&lt;0,-Table3[[#This Row],[Close ML (Away)]]/(-Table3[[#This Row],[Close ML (Away)]]+100),100/(Table3[[#This Row],[Close ML (Away)]]+100))</f>
        <v>1</v>
      </c>
    </row>
    <row r="20" spans="1:13" x14ac:dyDescent="0.25">
      <c r="A20">
        <v>11</v>
      </c>
      <c r="B20" t="s">
        <v>24</v>
      </c>
      <c r="C20" t="s">
        <v>12</v>
      </c>
      <c r="D20">
        <v>-3</v>
      </c>
      <c r="E20">
        <v>-2.5</v>
      </c>
      <c r="G20" s="2">
        <f>IF(Table3[[#This Row],[Open ML (Home)]]&lt;0,-Table3[[#This Row],[Open ML (Home)]]/(-Table3[[#This Row],[Open ML (Home)]]+100),100/(Table3[[#This Row],[Open ML (Home)]]+100))</f>
        <v>1</v>
      </c>
      <c r="I20" s="5">
        <f>IF(Table3[[#This Row],[Close ML (Home)]]&lt;0,-Table3[[#This Row],[Close ML (Home)]]/(-Table3[[#This Row],[Close ML (Home)]]+100),100/(Table3[[#This Row],[Close ML (Home)]]+100))</f>
        <v>1</v>
      </c>
      <c r="K20" s="5">
        <f>IF(Table3[[#This Row],[Open ML (Away)]]&lt;0,-Table3[[#This Row],[Open ML (Away)]]/(-Table3[[#This Row],[Open ML (Away)]]+100),100/(Table3[[#This Row],[Open ML (Away)]]+100))</f>
        <v>1</v>
      </c>
      <c r="M20" s="5">
        <f>IF(Table3[[#This Row],[Close ML (Away)]]&lt;0,-Table3[[#This Row],[Close ML (Away)]]/(-Table3[[#This Row],[Close ML (Away)]]+100),100/(Table3[[#This Row],[Close ML (Away)]]+100))</f>
        <v>1</v>
      </c>
    </row>
    <row r="21" spans="1:13" x14ac:dyDescent="0.25">
      <c r="A21">
        <v>11</v>
      </c>
      <c r="B21" t="s">
        <v>17</v>
      </c>
      <c r="C21" t="s">
        <v>19</v>
      </c>
      <c r="D21">
        <v>-7.5</v>
      </c>
      <c r="E21">
        <v>-7.5</v>
      </c>
      <c r="G21" s="2">
        <f>IF(Table3[[#This Row],[Open ML (Home)]]&lt;0,-Table3[[#This Row],[Open ML (Home)]]/(-Table3[[#This Row],[Open ML (Home)]]+100),100/(Table3[[#This Row],[Open ML (Home)]]+100))</f>
        <v>1</v>
      </c>
      <c r="I21" s="5">
        <f>IF(Table3[[#This Row],[Close ML (Home)]]&lt;0,-Table3[[#This Row],[Close ML (Home)]]/(-Table3[[#This Row],[Close ML (Home)]]+100),100/(Table3[[#This Row],[Close ML (Home)]]+100))</f>
        <v>1</v>
      </c>
      <c r="K21" s="5">
        <f>IF(Table3[[#This Row],[Open ML (Away)]]&lt;0,-Table3[[#This Row],[Open ML (Away)]]/(-Table3[[#This Row],[Open ML (Away)]]+100),100/(Table3[[#This Row],[Open ML (Away)]]+100))</f>
        <v>1</v>
      </c>
      <c r="M21" s="5">
        <f>IF(Table3[[#This Row],[Close ML (Away)]]&lt;0,-Table3[[#This Row],[Close ML (Away)]]/(-Table3[[#This Row],[Close ML (Away)]]+100),100/(Table3[[#This Row],[Close ML (Away)]]+100))</f>
        <v>1</v>
      </c>
    </row>
    <row r="22" spans="1:13" x14ac:dyDescent="0.25">
      <c r="A22">
        <v>11</v>
      </c>
      <c r="B22" t="s">
        <v>11</v>
      </c>
      <c r="C22" t="s">
        <v>28</v>
      </c>
      <c r="D22">
        <v>0</v>
      </c>
      <c r="E22">
        <v>-2.5</v>
      </c>
      <c r="G22" s="2">
        <f>IF(Table3[[#This Row],[Open ML (Home)]]&lt;0,-Table3[[#This Row],[Open ML (Home)]]/(-Table3[[#This Row],[Open ML (Home)]]+100),100/(Table3[[#This Row],[Open ML (Home)]]+100))</f>
        <v>1</v>
      </c>
      <c r="I22" s="5">
        <f>IF(Table3[[#This Row],[Close ML (Home)]]&lt;0,-Table3[[#This Row],[Close ML (Home)]]/(-Table3[[#This Row],[Close ML (Home)]]+100),100/(Table3[[#This Row],[Close ML (Home)]]+100))</f>
        <v>1</v>
      </c>
      <c r="K22" s="5">
        <f>IF(Table3[[#This Row],[Open ML (Away)]]&lt;0,-Table3[[#This Row],[Open ML (Away)]]/(-Table3[[#This Row],[Open ML (Away)]]+100),100/(Table3[[#This Row],[Open ML (Away)]]+100))</f>
        <v>1</v>
      </c>
      <c r="M22" s="5">
        <f>IF(Table3[[#This Row],[Close ML (Away)]]&lt;0,-Table3[[#This Row],[Close ML (Away)]]/(-Table3[[#This Row],[Close ML (Away)]]+100),100/(Table3[[#This Row],[Close ML (Away)]]+100))</f>
        <v>1</v>
      </c>
    </row>
    <row r="23" spans="1:13" x14ac:dyDescent="0.25">
      <c r="A23">
        <v>11</v>
      </c>
      <c r="B23" t="s">
        <v>23</v>
      </c>
      <c r="C23" t="s">
        <v>4</v>
      </c>
      <c r="D23">
        <v>-6.5</v>
      </c>
      <c r="E23">
        <v>-7</v>
      </c>
      <c r="G23" s="2">
        <f>IF(Table3[[#This Row],[Open ML (Home)]]&lt;0,-Table3[[#This Row],[Open ML (Home)]]/(-Table3[[#This Row],[Open ML (Home)]]+100),100/(Table3[[#This Row],[Open ML (Home)]]+100))</f>
        <v>1</v>
      </c>
      <c r="I23" s="5">
        <f>IF(Table3[[#This Row],[Close ML (Home)]]&lt;0,-Table3[[#This Row],[Close ML (Home)]]/(-Table3[[#This Row],[Close ML (Home)]]+100),100/(Table3[[#This Row],[Close ML (Home)]]+100))</f>
        <v>1</v>
      </c>
      <c r="K23" s="5">
        <f>IF(Table3[[#This Row],[Open ML (Away)]]&lt;0,-Table3[[#This Row],[Open ML (Away)]]/(-Table3[[#This Row],[Open ML (Away)]]+100),100/(Table3[[#This Row],[Open ML (Away)]]+100))</f>
        <v>1</v>
      </c>
      <c r="M23" s="5">
        <f>IF(Table3[[#This Row],[Close ML (Away)]]&lt;0,-Table3[[#This Row],[Close ML (Away)]]/(-Table3[[#This Row],[Close ML (Away)]]+100),100/(Table3[[#This Row],[Close ML (Away)]]+100))</f>
        <v>1</v>
      </c>
    </row>
    <row r="24" spans="1:13" x14ac:dyDescent="0.25">
      <c r="A24">
        <v>11</v>
      </c>
      <c r="B24" t="s">
        <v>25</v>
      </c>
      <c r="C24" t="s">
        <v>10</v>
      </c>
      <c r="D24">
        <v>-7.5</v>
      </c>
      <c r="E24">
        <v>-7.5</v>
      </c>
      <c r="G24" s="2">
        <f>IF(Table3[[#This Row],[Open ML (Home)]]&lt;0,-Table3[[#This Row],[Open ML (Home)]]/(-Table3[[#This Row],[Open ML (Home)]]+100),100/(Table3[[#This Row],[Open ML (Home)]]+100))</f>
        <v>1</v>
      </c>
      <c r="I24" s="5">
        <f>IF(Table3[[#This Row],[Close ML (Home)]]&lt;0,-Table3[[#This Row],[Close ML (Home)]]/(-Table3[[#This Row],[Close ML (Home)]]+100),100/(Table3[[#This Row],[Close ML (Home)]]+100))</f>
        <v>1</v>
      </c>
      <c r="K24" s="5">
        <f>IF(Table3[[#This Row],[Open ML (Away)]]&lt;0,-Table3[[#This Row],[Open ML (Away)]]/(-Table3[[#This Row],[Open ML (Away)]]+100),100/(Table3[[#This Row],[Open ML (Away)]]+100))</f>
        <v>1</v>
      </c>
      <c r="M24" s="5">
        <f>IF(Table3[[#This Row],[Close ML (Away)]]&lt;0,-Table3[[#This Row],[Close ML (Away)]]/(-Table3[[#This Row],[Close ML (Away)]]+100),100/(Table3[[#This Row],[Close ML (Away)]]+100))</f>
        <v>1</v>
      </c>
    </row>
    <row r="25" spans="1:13" x14ac:dyDescent="0.25">
      <c r="A25">
        <v>11</v>
      </c>
      <c r="B25" t="s">
        <v>32</v>
      </c>
      <c r="C25" t="s">
        <v>22</v>
      </c>
      <c r="D25">
        <v>0</v>
      </c>
      <c r="E25">
        <v>2.5</v>
      </c>
      <c r="G25" s="2">
        <f>IF(Table3[[#This Row],[Open ML (Home)]]&lt;0,-Table3[[#This Row],[Open ML (Home)]]/(-Table3[[#This Row],[Open ML (Home)]]+100),100/(Table3[[#This Row],[Open ML (Home)]]+100))</f>
        <v>1</v>
      </c>
      <c r="I25" s="5">
        <f>IF(Table3[[#This Row],[Close ML (Home)]]&lt;0,-Table3[[#This Row],[Close ML (Home)]]/(-Table3[[#This Row],[Close ML (Home)]]+100),100/(Table3[[#This Row],[Close ML (Home)]]+100))</f>
        <v>1</v>
      </c>
      <c r="K25" s="5">
        <f>IF(Table3[[#This Row],[Open ML (Away)]]&lt;0,-Table3[[#This Row],[Open ML (Away)]]/(-Table3[[#This Row],[Open ML (Away)]]+100),100/(Table3[[#This Row],[Open ML (Away)]]+100))</f>
        <v>1</v>
      </c>
      <c r="M25" s="5">
        <f>IF(Table3[[#This Row],[Close ML (Away)]]&lt;0,-Table3[[#This Row],[Close ML (Away)]]/(-Table3[[#This Row],[Close ML (Away)]]+100),100/(Table3[[#This Row],[Close ML (Away)]]+100))</f>
        <v>1</v>
      </c>
    </row>
    <row r="26" spans="1:13" x14ac:dyDescent="0.25">
      <c r="A26">
        <v>11</v>
      </c>
      <c r="B26" t="s">
        <v>21</v>
      </c>
      <c r="C26" t="s">
        <v>13</v>
      </c>
      <c r="D26">
        <v>-6.5</v>
      </c>
      <c r="E26">
        <v>-6.5</v>
      </c>
      <c r="G26" s="2">
        <f>IF(Table3[[#This Row],[Open ML (Home)]]&lt;0,-Table3[[#This Row],[Open ML (Home)]]/(-Table3[[#This Row],[Open ML (Home)]]+100),100/(Table3[[#This Row],[Open ML (Home)]]+100))</f>
        <v>1</v>
      </c>
      <c r="I26" s="5">
        <f>IF(Table3[[#This Row],[Close ML (Home)]]&lt;0,-Table3[[#This Row],[Close ML (Home)]]/(-Table3[[#This Row],[Close ML (Home)]]+100),100/(Table3[[#This Row],[Close ML (Home)]]+100))</f>
        <v>1</v>
      </c>
      <c r="K26" s="5">
        <f>IF(Table3[[#This Row],[Open ML (Away)]]&lt;0,-Table3[[#This Row],[Open ML (Away)]]/(-Table3[[#This Row],[Open ML (Away)]]+100),100/(Table3[[#This Row],[Open ML (Away)]]+100))</f>
        <v>1</v>
      </c>
      <c r="M26" s="5">
        <f>IF(Table3[[#This Row],[Close ML (Away)]]&lt;0,-Table3[[#This Row],[Close ML (Away)]]/(-Table3[[#This Row],[Close ML (Away)]]+100),100/(Table3[[#This Row],[Close ML (Away)]]+100))</f>
        <v>1</v>
      </c>
    </row>
    <row r="27" spans="1:13" x14ac:dyDescent="0.25">
      <c r="A27">
        <v>11</v>
      </c>
      <c r="B27" t="s">
        <v>31</v>
      </c>
      <c r="C27" t="s">
        <v>27</v>
      </c>
      <c r="D27">
        <v>13.5</v>
      </c>
      <c r="E27">
        <v>11</v>
      </c>
      <c r="G27" s="2">
        <f>IF(Table3[[#This Row],[Open ML (Home)]]&lt;0,-Table3[[#This Row],[Open ML (Home)]]/(-Table3[[#This Row],[Open ML (Home)]]+100),100/(Table3[[#This Row],[Open ML (Home)]]+100))</f>
        <v>1</v>
      </c>
      <c r="I27" s="5">
        <f>IF(Table3[[#This Row],[Close ML (Home)]]&lt;0,-Table3[[#This Row],[Close ML (Home)]]/(-Table3[[#This Row],[Close ML (Home)]]+100),100/(Table3[[#This Row],[Close ML (Home)]]+100))</f>
        <v>1</v>
      </c>
      <c r="K27" s="5">
        <f>IF(Table3[[#This Row],[Open ML (Away)]]&lt;0,-Table3[[#This Row],[Open ML (Away)]]/(-Table3[[#This Row],[Open ML (Away)]]+100),100/(Table3[[#This Row],[Open ML (Away)]]+100))</f>
        <v>1</v>
      </c>
      <c r="M27" s="5">
        <f>IF(Table3[[#This Row],[Close ML (Away)]]&lt;0,-Table3[[#This Row],[Close ML (Away)]]/(-Table3[[#This Row],[Close ML (Away)]]+100),100/(Table3[[#This Row],[Close ML (Away)]]+100))</f>
        <v>1</v>
      </c>
    </row>
    <row r="28" spans="1:13" x14ac:dyDescent="0.25">
      <c r="A28">
        <v>11</v>
      </c>
      <c r="B28" t="s">
        <v>30</v>
      </c>
      <c r="C28" t="s">
        <v>3</v>
      </c>
      <c r="D28">
        <v>-2.5</v>
      </c>
      <c r="E28">
        <v>-3</v>
      </c>
      <c r="G28" s="2">
        <f>IF(Table3[[#This Row],[Open ML (Home)]]&lt;0,-Table3[[#This Row],[Open ML (Home)]]/(-Table3[[#This Row],[Open ML (Home)]]+100),100/(Table3[[#This Row],[Open ML (Home)]]+100))</f>
        <v>1</v>
      </c>
      <c r="I28" s="5">
        <f>IF(Table3[[#This Row],[Close ML (Home)]]&lt;0,-Table3[[#This Row],[Close ML (Home)]]/(-Table3[[#This Row],[Close ML (Home)]]+100),100/(Table3[[#This Row],[Close ML (Home)]]+100))</f>
        <v>1</v>
      </c>
      <c r="K28" s="5">
        <f>IF(Table3[[#This Row],[Open ML (Away)]]&lt;0,-Table3[[#This Row],[Open ML (Away)]]/(-Table3[[#This Row],[Open ML (Away)]]+100),100/(Table3[[#This Row],[Open ML (Away)]]+100))</f>
        <v>1</v>
      </c>
      <c r="M28" s="5">
        <f>IF(Table3[[#This Row],[Close ML (Away)]]&lt;0,-Table3[[#This Row],[Close ML (Away)]]/(-Table3[[#This Row],[Close ML (Away)]]+100),100/(Table3[[#This Row],[Close ML (Away)]]+100))</f>
        <v>1</v>
      </c>
    </row>
    <row r="29" spans="1:13" s="9" customFormat="1" ht="15.75" thickBot="1" x14ac:dyDescent="0.3">
      <c r="A29" s="9">
        <v>11</v>
      </c>
      <c r="B29" s="9" t="s">
        <v>15</v>
      </c>
      <c r="C29" s="9" t="s">
        <v>9</v>
      </c>
      <c r="D29" s="9">
        <v>-5</v>
      </c>
      <c r="E29" s="9">
        <v>-6</v>
      </c>
      <c r="G29" s="10">
        <f>IF(Table3[[#This Row],[Open ML (Home)]]&lt;0,-Table3[[#This Row],[Open ML (Home)]]/(-Table3[[#This Row],[Open ML (Home)]]+100),100/(Table3[[#This Row],[Open ML (Home)]]+100))</f>
        <v>1</v>
      </c>
      <c r="I29" s="11">
        <f>IF(Table3[[#This Row],[Close ML (Home)]]&lt;0,-Table3[[#This Row],[Close ML (Home)]]/(-Table3[[#This Row],[Close ML (Home)]]+100),100/(Table3[[#This Row],[Close ML (Home)]]+100))</f>
        <v>1</v>
      </c>
      <c r="K29" s="11">
        <f>IF(Table3[[#This Row],[Open ML (Away)]]&lt;0,-Table3[[#This Row],[Open ML (Away)]]/(-Table3[[#This Row],[Open ML (Away)]]+100),100/(Table3[[#This Row],[Open ML (Away)]]+100))</f>
        <v>1</v>
      </c>
      <c r="M29" s="11">
        <f>IF(Table3[[#This Row],[Close ML (Away)]]&lt;0,-Table3[[#This Row],[Close ML (Away)]]/(-Table3[[#This Row],[Close ML (Away)]]+100),100/(Table3[[#This Row],[Close ML (Away)]]+100))</f>
        <v>1</v>
      </c>
    </row>
    <row r="30" spans="1:13" x14ac:dyDescent="0.25">
      <c r="A30">
        <v>12</v>
      </c>
      <c r="B30" t="s">
        <v>23</v>
      </c>
      <c r="C30" t="s">
        <v>11</v>
      </c>
      <c r="G30" s="2">
        <f>IF(Table3[[#This Row],[Open ML (Home)]]&lt;0,-Table3[[#This Row],[Open ML (Home)]]/(-Table3[[#This Row],[Open ML (Home)]]+100),100/(Table3[[#This Row],[Open ML (Home)]]+100))</f>
        <v>1</v>
      </c>
      <c r="I30" s="5">
        <f>IF(Table3[[#This Row],[Close ML (Home)]]&lt;0,-Table3[[#This Row],[Close ML (Home)]]/(-Table3[[#This Row],[Close ML (Home)]]+100),100/(Table3[[#This Row],[Close ML (Home)]]+100))</f>
        <v>1</v>
      </c>
      <c r="K30" s="5">
        <f>IF(Table3[[#This Row],[Open ML (Away)]]&lt;0,-Table3[[#This Row],[Open ML (Away)]]/(-Table3[[#This Row],[Open ML (Away)]]+100),100/(Table3[[#This Row],[Open ML (Away)]]+100))</f>
        <v>1</v>
      </c>
      <c r="M30" s="5">
        <f>IF(Table3[[#This Row],[Close ML (Away)]]&lt;0,-Table3[[#This Row],[Close ML (Away)]]/(-Table3[[#This Row],[Close ML (Away)]]+100),100/(Table3[[#This Row],[Close ML (Away)]]+100))</f>
        <v>1</v>
      </c>
    </row>
    <row r="31" spans="1:13" x14ac:dyDescent="0.25">
      <c r="A31">
        <v>12</v>
      </c>
      <c r="B31" t="s">
        <v>26</v>
      </c>
      <c r="C31" t="s">
        <v>30</v>
      </c>
      <c r="G31" s="2">
        <f>IF(Table3[[#This Row],[Open ML (Home)]]&lt;0,-Table3[[#This Row],[Open ML (Home)]]/(-Table3[[#This Row],[Open ML (Home)]]+100),100/(Table3[[#This Row],[Open ML (Home)]]+100))</f>
        <v>1</v>
      </c>
      <c r="I31" s="5">
        <f>IF(Table3[[#This Row],[Close ML (Home)]]&lt;0,-Table3[[#This Row],[Close ML (Home)]]/(-Table3[[#This Row],[Close ML (Home)]]+100),100/(Table3[[#This Row],[Close ML (Home)]]+100))</f>
        <v>1</v>
      </c>
      <c r="K31" s="5">
        <f>IF(Table3[[#This Row],[Open ML (Away)]]&lt;0,-Table3[[#This Row],[Open ML (Away)]]/(-Table3[[#This Row],[Open ML (Away)]]+100),100/(Table3[[#This Row],[Open ML (Away)]]+100))</f>
        <v>1</v>
      </c>
      <c r="M31" s="5">
        <f>IF(Table3[[#This Row],[Close ML (Away)]]&lt;0,-Table3[[#This Row],[Close ML (Away)]]/(-Table3[[#This Row],[Close ML (Away)]]+100),100/(Table3[[#This Row],[Close ML (Away)]]+100))</f>
        <v>1</v>
      </c>
    </row>
    <row r="32" spans="1:13" x14ac:dyDescent="0.25">
      <c r="A32">
        <v>12</v>
      </c>
      <c r="B32" t="s">
        <v>24</v>
      </c>
      <c r="C32" t="s">
        <v>29</v>
      </c>
      <c r="G32" s="2">
        <f>IF(Table3[[#This Row],[Open ML (Home)]]&lt;0,-Table3[[#This Row],[Open ML (Home)]]/(-Table3[[#This Row],[Open ML (Home)]]+100),100/(Table3[[#This Row],[Open ML (Home)]]+100))</f>
        <v>1</v>
      </c>
      <c r="I32" s="5">
        <f>IF(Table3[[#This Row],[Close ML (Home)]]&lt;0,-Table3[[#This Row],[Close ML (Home)]]/(-Table3[[#This Row],[Close ML (Home)]]+100),100/(Table3[[#This Row],[Close ML (Home)]]+100))</f>
        <v>1</v>
      </c>
      <c r="K32" s="5">
        <f>IF(Table3[[#This Row],[Open ML (Away)]]&lt;0,-Table3[[#This Row],[Open ML (Away)]]/(-Table3[[#This Row],[Open ML (Away)]]+100),100/(Table3[[#This Row],[Open ML (Away)]]+100))</f>
        <v>1</v>
      </c>
      <c r="M32" s="5">
        <f>IF(Table3[[#This Row],[Close ML (Away)]]&lt;0,-Table3[[#This Row],[Close ML (Away)]]/(-Table3[[#This Row],[Close ML (Away)]]+100),100/(Table3[[#This Row],[Close ML (Away)]]+100))</f>
        <v>1</v>
      </c>
    </row>
    <row r="33" spans="1:13" x14ac:dyDescent="0.25">
      <c r="A33">
        <v>12</v>
      </c>
      <c r="B33" t="s">
        <v>9</v>
      </c>
      <c r="C33" t="s">
        <v>18</v>
      </c>
      <c r="G33" s="2">
        <f>IF(Table3[[#This Row],[Open ML (Home)]]&lt;0,-Table3[[#This Row],[Open ML (Home)]]/(-Table3[[#This Row],[Open ML (Home)]]+100),100/(Table3[[#This Row],[Open ML (Home)]]+100))</f>
        <v>1</v>
      </c>
      <c r="I33" s="5">
        <f>IF(Table3[[#This Row],[Close ML (Home)]]&lt;0,-Table3[[#This Row],[Close ML (Home)]]/(-Table3[[#This Row],[Close ML (Home)]]+100),100/(Table3[[#This Row],[Close ML (Home)]]+100))</f>
        <v>1</v>
      </c>
      <c r="K33" s="5">
        <f>IF(Table3[[#This Row],[Open ML (Away)]]&lt;0,-Table3[[#This Row],[Open ML (Away)]]/(-Table3[[#This Row],[Open ML (Away)]]+100),100/(Table3[[#This Row],[Open ML (Away)]]+100))</f>
        <v>1</v>
      </c>
      <c r="M33" s="5">
        <f>IF(Table3[[#This Row],[Close ML (Away)]]&lt;0,-Table3[[#This Row],[Close ML (Away)]]/(-Table3[[#This Row],[Close ML (Away)]]+100),100/(Table3[[#This Row],[Close ML (Away)]]+100))</f>
        <v>1</v>
      </c>
    </row>
    <row r="34" spans="1:13" x14ac:dyDescent="0.25">
      <c r="A34">
        <v>12</v>
      </c>
      <c r="B34" t="s">
        <v>6</v>
      </c>
      <c r="C34" t="s">
        <v>4</v>
      </c>
      <c r="G34" s="2">
        <f>IF(Table3[[#This Row],[Open ML (Home)]]&lt;0,-Table3[[#This Row],[Open ML (Home)]]/(-Table3[[#This Row],[Open ML (Home)]]+100),100/(Table3[[#This Row],[Open ML (Home)]]+100))</f>
        <v>1</v>
      </c>
      <c r="I34" s="5">
        <f>IF(Table3[[#This Row],[Close ML (Home)]]&lt;0,-Table3[[#This Row],[Close ML (Home)]]/(-Table3[[#This Row],[Close ML (Home)]]+100),100/(Table3[[#This Row],[Close ML (Home)]]+100))</f>
        <v>1</v>
      </c>
      <c r="K34" s="5">
        <f>IF(Table3[[#This Row],[Open ML (Away)]]&lt;0,-Table3[[#This Row],[Open ML (Away)]]/(-Table3[[#This Row],[Open ML (Away)]]+100),100/(Table3[[#This Row],[Open ML (Away)]]+100))</f>
        <v>1</v>
      </c>
      <c r="M34" s="5">
        <f>IF(Table3[[#This Row],[Close ML (Away)]]&lt;0,-Table3[[#This Row],[Close ML (Away)]]/(-Table3[[#This Row],[Close ML (Away)]]+100),100/(Table3[[#This Row],[Close ML (Away)]]+100))</f>
        <v>1</v>
      </c>
    </row>
    <row r="35" spans="1:13" x14ac:dyDescent="0.25">
      <c r="A35">
        <v>12</v>
      </c>
      <c r="B35" t="s">
        <v>14</v>
      </c>
      <c r="C35" t="s">
        <v>25</v>
      </c>
      <c r="G35" s="2">
        <f>IF(Table3[[#This Row],[Open ML (Home)]]&lt;0,-Table3[[#This Row],[Open ML (Home)]]/(-Table3[[#This Row],[Open ML (Home)]]+100),100/(Table3[[#This Row],[Open ML (Home)]]+100))</f>
        <v>1</v>
      </c>
      <c r="I35" s="5">
        <f>IF(Table3[[#This Row],[Close ML (Home)]]&lt;0,-Table3[[#This Row],[Close ML (Home)]]/(-Table3[[#This Row],[Close ML (Home)]]+100),100/(Table3[[#This Row],[Close ML (Home)]]+100))</f>
        <v>1</v>
      </c>
      <c r="K35" s="5">
        <f>IF(Table3[[#This Row],[Open ML (Away)]]&lt;0,-Table3[[#This Row],[Open ML (Away)]]/(-Table3[[#This Row],[Open ML (Away)]]+100),100/(Table3[[#This Row],[Open ML (Away)]]+100))</f>
        <v>1</v>
      </c>
      <c r="M35" s="5">
        <f>IF(Table3[[#This Row],[Close ML (Away)]]&lt;0,-Table3[[#This Row],[Close ML (Away)]]/(-Table3[[#This Row],[Close ML (Away)]]+100),100/(Table3[[#This Row],[Close ML (Away)]]+100))</f>
        <v>1</v>
      </c>
    </row>
    <row r="36" spans="1:13" x14ac:dyDescent="0.25">
      <c r="A36">
        <v>12</v>
      </c>
      <c r="B36" t="s">
        <v>16</v>
      </c>
      <c r="C36" t="s">
        <v>32</v>
      </c>
      <c r="G36" s="2">
        <f>IF(Table3[[#This Row],[Open ML (Home)]]&lt;0,-Table3[[#This Row],[Open ML (Home)]]/(-Table3[[#This Row],[Open ML (Home)]]+100),100/(Table3[[#This Row],[Open ML (Home)]]+100))</f>
        <v>1</v>
      </c>
      <c r="I36" s="5">
        <f>IF(Table3[[#This Row],[Close ML (Home)]]&lt;0,-Table3[[#This Row],[Close ML (Home)]]/(-Table3[[#This Row],[Close ML (Home)]]+100),100/(Table3[[#This Row],[Close ML (Home)]]+100))</f>
        <v>1</v>
      </c>
      <c r="K36" s="5">
        <f>IF(Table3[[#This Row],[Open ML (Away)]]&lt;0,-Table3[[#This Row],[Open ML (Away)]]/(-Table3[[#This Row],[Open ML (Away)]]+100),100/(Table3[[#This Row],[Open ML (Away)]]+100))</f>
        <v>1</v>
      </c>
      <c r="M36" s="5">
        <f>IF(Table3[[#This Row],[Close ML (Away)]]&lt;0,-Table3[[#This Row],[Close ML (Away)]]/(-Table3[[#This Row],[Close ML (Away)]]+100),100/(Table3[[#This Row],[Close ML (Away)]]+100))</f>
        <v>1</v>
      </c>
    </row>
    <row r="37" spans="1:13" x14ac:dyDescent="0.25">
      <c r="A37">
        <v>12</v>
      </c>
      <c r="B37" t="s">
        <v>20</v>
      </c>
      <c r="C37" t="s">
        <v>28</v>
      </c>
      <c r="G37" s="2">
        <f>IF(Table3[[#This Row],[Open ML (Home)]]&lt;0,-Table3[[#This Row],[Open ML (Home)]]/(-Table3[[#This Row],[Open ML (Home)]]+100),100/(Table3[[#This Row],[Open ML (Home)]]+100))</f>
        <v>1</v>
      </c>
      <c r="I37" s="5">
        <f>IF(Table3[[#This Row],[Close ML (Home)]]&lt;0,-Table3[[#This Row],[Close ML (Home)]]/(-Table3[[#This Row],[Close ML (Home)]]+100),100/(Table3[[#This Row],[Close ML (Home)]]+100))</f>
        <v>1</v>
      </c>
      <c r="K37" s="5">
        <f>IF(Table3[[#This Row],[Open ML (Away)]]&lt;0,-Table3[[#This Row],[Open ML (Away)]]/(-Table3[[#This Row],[Open ML (Away)]]+100),100/(Table3[[#This Row],[Open ML (Away)]]+100))</f>
        <v>1</v>
      </c>
      <c r="M37" s="5">
        <f>IF(Table3[[#This Row],[Close ML (Away)]]&lt;0,-Table3[[#This Row],[Close ML (Away)]]/(-Table3[[#This Row],[Close ML (Away)]]+100),100/(Table3[[#This Row],[Close ML (Away)]]+100))</f>
        <v>1</v>
      </c>
    </row>
    <row r="38" spans="1:13" x14ac:dyDescent="0.25">
      <c r="A38">
        <v>12</v>
      </c>
      <c r="B38" t="s">
        <v>22</v>
      </c>
      <c r="C38" t="s">
        <v>31</v>
      </c>
      <c r="G38" s="2">
        <f>IF(Table3[[#This Row],[Open ML (Home)]]&lt;0,-Table3[[#This Row],[Open ML (Home)]]/(-Table3[[#This Row],[Open ML (Home)]]+100),100/(Table3[[#This Row],[Open ML (Home)]]+100))</f>
        <v>1</v>
      </c>
      <c r="I38" s="5">
        <f>IF(Table3[[#This Row],[Close ML (Home)]]&lt;0,-Table3[[#This Row],[Close ML (Home)]]/(-Table3[[#This Row],[Close ML (Home)]]+100),100/(Table3[[#This Row],[Close ML (Home)]]+100))</f>
        <v>1</v>
      </c>
      <c r="K38" s="5">
        <f>IF(Table3[[#This Row],[Open ML (Away)]]&lt;0,-Table3[[#This Row],[Open ML (Away)]]/(-Table3[[#This Row],[Open ML (Away)]]+100),100/(Table3[[#This Row],[Open ML (Away)]]+100))</f>
        <v>1</v>
      </c>
      <c r="M38" s="5">
        <f>IF(Table3[[#This Row],[Close ML (Away)]]&lt;0,-Table3[[#This Row],[Close ML (Away)]]/(-Table3[[#This Row],[Close ML (Away)]]+100),100/(Table3[[#This Row],[Close ML (Away)]]+100))</f>
        <v>1</v>
      </c>
    </row>
    <row r="39" spans="1:13" x14ac:dyDescent="0.25">
      <c r="A39">
        <v>12</v>
      </c>
      <c r="B39" t="s">
        <v>5</v>
      </c>
      <c r="C39" t="s">
        <v>7</v>
      </c>
      <c r="G39" s="2">
        <f>IF(Table3[[#This Row],[Open ML (Home)]]&lt;0,-Table3[[#This Row],[Open ML (Home)]]/(-Table3[[#This Row],[Open ML (Home)]]+100),100/(Table3[[#This Row],[Open ML (Home)]]+100))</f>
        <v>1</v>
      </c>
      <c r="I39" s="5">
        <f>IF(Table3[[#This Row],[Close ML (Home)]]&lt;0,-Table3[[#This Row],[Close ML (Home)]]/(-Table3[[#This Row],[Close ML (Home)]]+100),100/(Table3[[#This Row],[Close ML (Home)]]+100))</f>
        <v>1</v>
      </c>
      <c r="K39" s="5">
        <f>IF(Table3[[#This Row],[Open ML (Away)]]&lt;0,-Table3[[#This Row],[Open ML (Away)]]/(-Table3[[#This Row],[Open ML (Away)]]+100),100/(Table3[[#This Row],[Open ML (Away)]]+100))</f>
        <v>1</v>
      </c>
      <c r="M39" s="5">
        <f>IF(Table3[[#This Row],[Close ML (Away)]]&lt;0,-Table3[[#This Row],[Close ML (Away)]]/(-Table3[[#This Row],[Close ML (Away)]]+100),100/(Table3[[#This Row],[Close ML (Away)]]+100))</f>
        <v>1</v>
      </c>
    </row>
    <row r="40" spans="1:13" x14ac:dyDescent="0.25">
      <c r="A40">
        <v>12</v>
      </c>
      <c r="B40" t="s">
        <v>10</v>
      </c>
      <c r="C40" t="s">
        <v>12</v>
      </c>
      <c r="G40" s="2">
        <f>IF(Table3[[#This Row],[Open ML (Home)]]&lt;0,-Table3[[#This Row],[Open ML (Home)]]/(-Table3[[#This Row],[Open ML (Home)]]+100),100/(Table3[[#This Row],[Open ML (Home)]]+100))</f>
        <v>1</v>
      </c>
      <c r="I40" s="5">
        <f>IF(Table3[[#This Row],[Close ML (Home)]]&lt;0,-Table3[[#This Row],[Close ML (Home)]]/(-Table3[[#This Row],[Close ML (Home)]]+100),100/(Table3[[#This Row],[Close ML (Home)]]+100))</f>
        <v>1</v>
      </c>
      <c r="K40" s="5">
        <f>IF(Table3[[#This Row],[Open ML (Away)]]&lt;0,-Table3[[#This Row],[Open ML (Away)]]/(-Table3[[#This Row],[Open ML (Away)]]+100),100/(Table3[[#This Row],[Open ML (Away)]]+100))</f>
        <v>1</v>
      </c>
      <c r="M40" s="5">
        <f>IF(Table3[[#This Row],[Close ML (Away)]]&lt;0,-Table3[[#This Row],[Close ML (Away)]]/(-Table3[[#This Row],[Close ML (Away)]]+100),100/(Table3[[#This Row],[Close ML (Away)]]+100))</f>
        <v>1</v>
      </c>
    </row>
    <row r="41" spans="1:13" x14ac:dyDescent="0.25">
      <c r="A41">
        <v>12</v>
      </c>
      <c r="B41" t="s">
        <v>19</v>
      </c>
      <c r="C41" t="s">
        <v>21</v>
      </c>
      <c r="G41" s="2">
        <f>IF(Table3[[#This Row],[Open ML (Home)]]&lt;0,-Table3[[#This Row],[Open ML (Home)]]/(-Table3[[#This Row],[Open ML (Home)]]+100),100/(Table3[[#This Row],[Open ML (Home)]]+100))</f>
        <v>1</v>
      </c>
      <c r="I41" s="5">
        <f>IF(Table3[[#This Row],[Close ML (Home)]]&lt;0,-Table3[[#This Row],[Close ML (Home)]]/(-Table3[[#This Row],[Close ML (Home)]]+100),100/(Table3[[#This Row],[Close ML (Home)]]+100))</f>
        <v>1</v>
      </c>
      <c r="K41" s="5">
        <f>IF(Table3[[#This Row],[Open ML (Away)]]&lt;0,-Table3[[#This Row],[Open ML (Away)]]/(-Table3[[#This Row],[Open ML (Away)]]+100),100/(Table3[[#This Row],[Open ML (Away)]]+100))</f>
        <v>1</v>
      </c>
      <c r="M41" s="5">
        <f>IF(Table3[[#This Row],[Close ML (Away)]]&lt;0,-Table3[[#This Row],[Close ML (Away)]]/(-Table3[[#This Row],[Close ML (Away)]]+100),100/(Table3[[#This Row],[Close ML (Away)]]+100))</f>
        <v>1</v>
      </c>
    </row>
    <row r="42" spans="1:13" x14ac:dyDescent="0.25">
      <c r="A42">
        <v>12</v>
      </c>
      <c r="B42" t="s">
        <v>1</v>
      </c>
      <c r="C42" t="s">
        <v>17</v>
      </c>
      <c r="G42" s="2">
        <f>IF(Table3[[#This Row],[Open ML (Home)]]&lt;0,-Table3[[#This Row],[Open ML (Home)]]/(-Table3[[#This Row],[Open ML (Home)]]+100),100/(Table3[[#This Row],[Open ML (Home)]]+100))</f>
        <v>1</v>
      </c>
      <c r="I42" s="5">
        <f>IF(Table3[[#This Row],[Close ML (Home)]]&lt;0,-Table3[[#This Row],[Close ML (Home)]]/(-Table3[[#This Row],[Close ML (Home)]]+100),100/(Table3[[#This Row],[Close ML (Home)]]+100))</f>
        <v>1</v>
      </c>
      <c r="K42" s="5">
        <f>IF(Table3[[#This Row],[Open ML (Away)]]&lt;0,-Table3[[#This Row],[Open ML (Away)]]/(-Table3[[#This Row],[Open ML (Away)]]+100),100/(Table3[[#This Row],[Open ML (Away)]]+100))</f>
        <v>1</v>
      </c>
      <c r="M42" s="5">
        <f>IF(Table3[[#This Row],[Close ML (Away)]]&lt;0,-Table3[[#This Row],[Close ML (Away)]]/(-Table3[[#This Row],[Close ML (Away)]]+100),100/(Table3[[#This Row],[Close ML (Away)]]+100))</f>
        <v>1</v>
      </c>
    </row>
    <row r="43" spans="1:13" x14ac:dyDescent="0.25">
      <c r="A43">
        <v>12</v>
      </c>
      <c r="B43" t="s">
        <v>15</v>
      </c>
      <c r="C43" t="s">
        <v>2</v>
      </c>
      <c r="G43" s="2">
        <f>IF(Table3[[#This Row],[Open ML (Home)]]&lt;0,-Table3[[#This Row],[Open ML (Home)]]/(-Table3[[#This Row],[Open ML (Home)]]+100),100/(Table3[[#This Row],[Open ML (Home)]]+100))</f>
        <v>1</v>
      </c>
      <c r="I43" s="5">
        <f>IF(Table3[[#This Row],[Close ML (Home)]]&lt;0,-Table3[[#This Row],[Close ML (Home)]]/(-Table3[[#This Row],[Close ML (Home)]]+100),100/(Table3[[#This Row],[Close ML (Home)]]+100))</f>
        <v>1</v>
      </c>
      <c r="K43" s="5">
        <f>IF(Table3[[#This Row],[Open ML (Away)]]&lt;0,-Table3[[#This Row],[Open ML (Away)]]/(-Table3[[#This Row],[Open ML (Away)]]+100),100/(Table3[[#This Row],[Open ML (Away)]]+100))</f>
        <v>1</v>
      </c>
      <c r="M43" s="5">
        <f>IF(Table3[[#This Row],[Close ML (Away)]]&lt;0,-Table3[[#This Row],[Close ML (Away)]]/(-Table3[[#This Row],[Close ML (Away)]]+100),100/(Table3[[#This Row],[Close ML (Away)]]+100))</f>
        <v>1</v>
      </c>
    </row>
    <row r="44" spans="1:13" x14ac:dyDescent="0.25">
      <c r="A44">
        <v>12</v>
      </c>
      <c r="B44" t="s">
        <v>8</v>
      </c>
      <c r="C44" t="s">
        <v>27</v>
      </c>
      <c r="G44" s="2">
        <f>IF(Table3[[#This Row],[Open ML (Home)]]&lt;0,-Table3[[#This Row],[Open ML (Home)]]/(-Table3[[#This Row],[Open ML (Home)]]+100),100/(Table3[[#This Row],[Open ML (Home)]]+100))</f>
        <v>1</v>
      </c>
      <c r="I44" s="5">
        <f>IF(Table3[[#This Row],[Close ML (Home)]]&lt;0,-Table3[[#This Row],[Close ML (Home)]]/(-Table3[[#This Row],[Close ML (Home)]]+100),100/(Table3[[#This Row],[Close ML (Home)]]+100))</f>
        <v>1</v>
      </c>
      <c r="K44" s="5">
        <f>IF(Table3[[#This Row],[Open ML (Away)]]&lt;0,-Table3[[#This Row],[Open ML (Away)]]/(-Table3[[#This Row],[Open ML (Away)]]+100),100/(Table3[[#This Row],[Open ML (Away)]]+100))</f>
        <v>1</v>
      </c>
      <c r="M44" s="5">
        <f>IF(Table3[[#This Row],[Close ML (Away)]]&lt;0,-Table3[[#This Row],[Close ML (Away)]]/(-Table3[[#This Row],[Close ML (Away)]]+100),100/(Table3[[#This Row],[Close ML (Away)]]+100))</f>
        <v>1</v>
      </c>
    </row>
    <row r="45" spans="1:13" ht="15.75" thickBot="1" x14ac:dyDescent="0.3">
      <c r="A45" s="9">
        <v>12</v>
      </c>
      <c r="B45" s="9" t="s">
        <v>13</v>
      </c>
      <c r="C45" s="9" t="s">
        <v>3</v>
      </c>
      <c r="D45" s="9"/>
      <c r="E45" s="9"/>
      <c r="F45" s="9"/>
      <c r="G45" s="10">
        <f>IF(Table3[[#This Row],[Open ML (Home)]]&lt;0,-Table3[[#This Row],[Open ML (Home)]]/(-Table3[[#This Row],[Open ML (Home)]]+100),100/(Table3[[#This Row],[Open ML (Home)]]+100))</f>
        <v>1</v>
      </c>
      <c r="H45" s="9"/>
      <c r="I45" s="11">
        <f>IF(Table3[[#This Row],[Close ML (Home)]]&lt;0,-Table3[[#This Row],[Close ML (Home)]]/(-Table3[[#This Row],[Close ML (Home)]]+100),100/(Table3[[#This Row],[Close ML (Home)]]+100))</f>
        <v>1</v>
      </c>
      <c r="J45" s="9"/>
      <c r="K45" s="11">
        <f>IF(Table3[[#This Row],[Open ML (Away)]]&lt;0,-Table3[[#This Row],[Open ML (Away)]]/(-Table3[[#This Row],[Open ML (Away)]]+100),100/(Table3[[#This Row],[Open ML (Away)]]+100))</f>
        <v>1</v>
      </c>
      <c r="L45" s="9"/>
      <c r="M45" s="11">
        <f>IF(Table3[[#This Row],[Close ML (Away)]]&lt;0,-Table3[[#This Row],[Close ML (Away)]]/(-Table3[[#This Row],[Close ML (Away)]]+100),100/(Table3[[#This Row],[Close ML (Away)]]+100))</f>
        <v>1</v>
      </c>
    </row>
    <row r="46" spans="1:13" x14ac:dyDescent="0.25">
      <c r="A46">
        <v>13</v>
      </c>
      <c r="B46" t="s">
        <v>11</v>
      </c>
      <c r="C46" t="s">
        <v>26</v>
      </c>
      <c r="G46" s="2">
        <f>IF(Table3[[#This Row],[Open ML (Home)]]&lt;0,-Table3[[#This Row],[Open ML (Home)]]/(-Table3[[#This Row],[Open ML (Home)]]+100),100/(Table3[[#This Row],[Open ML (Home)]]+100))</f>
        <v>1</v>
      </c>
      <c r="I46" s="5">
        <f>IF(Table3[[#This Row],[Close ML (Home)]]&lt;0,-Table3[[#This Row],[Close ML (Home)]]/(-Table3[[#This Row],[Close ML (Home)]]+100),100/(Table3[[#This Row],[Close ML (Home)]]+100))</f>
        <v>1</v>
      </c>
      <c r="K46" s="5">
        <f>IF(Table3[[#This Row],[Open ML (Away)]]&lt;0,-Table3[[#This Row],[Open ML (Away)]]/(-Table3[[#This Row],[Open ML (Away)]]+100),100/(Table3[[#This Row],[Open ML (Away)]]+100))</f>
        <v>1</v>
      </c>
      <c r="M46" s="5">
        <f>IF(Table3[[#This Row],[Close ML (Away)]]&lt;0,-Table3[[#This Row],[Close ML (Away)]]/(-Table3[[#This Row],[Close ML (Away)]]+100),100/(Table3[[#This Row],[Close ML (Away)]]+100))</f>
        <v>1</v>
      </c>
    </row>
    <row r="47" spans="1:13" x14ac:dyDescent="0.25">
      <c r="A47">
        <v>13</v>
      </c>
      <c r="B47" t="s">
        <v>3</v>
      </c>
      <c r="C47" t="s">
        <v>9</v>
      </c>
      <c r="G47" s="2">
        <f>IF(Table3[[#This Row],[Open ML (Home)]]&lt;0,-Table3[[#This Row],[Open ML (Home)]]/(-Table3[[#This Row],[Open ML (Home)]]+100),100/(Table3[[#This Row],[Open ML (Home)]]+100))</f>
        <v>1</v>
      </c>
      <c r="I47" s="5">
        <f>IF(Table3[[#This Row],[Close ML (Home)]]&lt;0,-Table3[[#This Row],[Close ML (Home)]]/(-Table3[[#This Row],[Close ML (Home)]]+100),100/(Table3[[#This Row],[Close ML (Home)]]+100))</f>
        <v>1</v>
      </c>
      <c r="K47" s="5">
        <f>IF(Table3[[#This Row],[Open ML (Away)]]&lt;0,-Table3[[#This Row],[Open ML (Away)]]/(-Table3[[#This Row],[Open ML (Away)]]+100),100/(Table3[[#This Row],[Open ML (Away)]]+100))</f>
        <v>1</v>
      </c>
      <c r="M47" s="5">
        <f>IF(Table3[[#This Row],[Close ML (Away)]]&lt;0,-Table3[[#This Row],[Close ML (Away)]]/(-Table3[[#This Row],[Close ML (Away)]]+100),100/(Table3[[#This Row],[Close ML (Away)]]+100))</f>
        <v>1</v>
      </c>
    </row>
    <row r="48" spans="1:13" x14ac:dyDescent="0.25">
      <c r="A48">
        <v>13</v>
      </c>
      <c r="B48" t="s">
        <v>5</v>
      </c>
      <c r="C48" t="s">
        <v>22</v>
      </c>
      <c r="G48" s="2">
        <f>IF(Table3[[#This Row],[Open ML (Home)]]&lt;0,-Table3[[#This Row],[Open ML (Home)]]/(-Table3[[#This Row],[Open ML (Home)]]+100),100/(Table3[[#This Row],[Open ML (Home)]]+100))</f>
        <v>1</v>
      </c>
      <c r="I48" s="5">
        <f>IF(Table3[[#This Row],[Close ML (Home)]]&lt;0,-Table3[[#This Row],[Close ML (Home)]]/(-Table3[[#This Row],[Close ML (Home)]]+100),100/(Table3[[#This Row],[Close ML (Home)]]+100))</f>
        <v>1</v>
      </c>
      <c r="K48" s="5">
        <f>IF(Table3[[#This Row],[Open ML (Away)]]&lt;0,-Table3[[#This Row],[Open ML (Away)]]/(-Table3[[#This Row],[Open ML (Away)]]+100),100/(Table3[[#This Row],[Open ML (Away)]]+100))</f>
        <v>1</v>
      </c>
      <c r="M48" s="5">
        <f>IF(Table3[[#This Row],[Close ML (Away)]]&lt;0,-Table3[[#This Row],[Close ML (Away)]]/(-Table3[[#This Row],[Close ML (Away)]]+100),100/(Table3[[#This Row],[Close ML (Away)]]+100))</f>
        <v>1</v>
      </c>
    </row>
    <row r="49" spans="1:13" x14ac:dyDescent="0.25">
      <c r="A49">
        <v>13</v>
      </c>
      <c r="B49" t="s">
        <v>4</v>
      </c>
      <c r="C49" t="s">
        <v>1</v>
      </c>
      <c r="G49" s="2">
        <f>IF(Table3[[#This Row],[Open ML (Home)]]&lt;0,-Table3[[#This Row],[Open ML (Home)]]/(-Table3[[#This Row],[Open ML (Home)]]+100),100/(Table3[[#This Row],[Open ML (Home)]]+100))</f>
        <v>1</v>
      </c>
      <c r="I49" s="5">
        <f>IF(Table3[[#This Row],[Close ML (Home)]]&lt;0,-Table3[[#This Row],[Close ML (Home)]]/(-Table3[[#This Row],[Close ML (Home)]]+100),100/(Table3[[#This Row],[Close ML (Home)]]+100))</f>
        <v>1</v>
      </c>
      <c r="K49" s="5">
        <f>IF(Table3[[#This Row],[Open ML (Away)]]&lt;0,-Table3[[#This Row],[Open ML (Away)]]/(-Table3[[#This Row],[Open ML (Away)]]+100),100/(Table3[[#This Row],[Open ML (Away)]]+100))</f>
        <v>1</v>
      </c>
      <c r="M49" s="5">
        <f>IF(Table3[[#This Row],[Close ML (Away)]]&lt;0,-Table3[[#This Row],[Close ML (Away)]]/(-Table3[[#This Row],[Close ML (Away)]]+100),100/(Table3[[#This Row],[Close ML (Away)]]+100))</f>
        <v>1</v>
      </c>
    </row>
    <row r="50" spans="1:13" x14ac:dyDescent="0.25">
      <c r="A50">
        <v>13</v>
      </c>
      <c r="B50" t="s">
        <v>10</v>
      </c>
      <c r="C50" t="s">
        <v>31</v>
      </c>
      <c r="G50" s="2">
        <f>IF(Table3[[#This Row],[Open ML (Home)]]&lt;0,-Table3[[#This Row],[Open ML (Home)]]/(-Table3[[#This Row],[Open ML (Home)]]+100),100/(Table3[[#This Row],[Open ML (Home)]]+100))</f>
        <v>1</v>
      </c>
      <c r="I50" s="5">
        <f>IF(Table3[[#This Row],[Close ML (Home)]]&lt;0,-Table3[[#This Row],[Close ML (Home)]]/(-Table3[[#This Row],[Close ML (Home)]]+100),100/(Table3[[#This Row],[Close ML (Home)]]+100))</f>
        <v>1</v>
      </c>
      <c r="K50" s="5">
        <f>IF(Table3[[#This Row],[Open ML (Away)]]&lt;0,-Table3[[#This Row],[Open ML (Away)]]/(-Table3[[#This Row],[Open ML (Away)]]+100),100/(Table3[[#This Row],[Open ML (Away)]]+100))</f>
        <v>1</v>
      </c>
      <c r="M50" s="5">
        <f>IF(Table3[[#This Row],[Close ML (Away)]]&lt;0,-Table3[[#This Row],[Close ML (Away)]]/(-Table3[[#This Row],[Close ML (Away)]]+100),100/(Table3[[#This Row],[Close ML (Away)]]+100))</f>
        <v>1</v>
      </c>
    </row>
    <row r="51" spans="1:13" x14ac:dyDescent="0.25">
      <c r="A51">
        <v>13</v>
      </c>
      <c r="B51" t="s">
        <v>20</v>
      </c>
      <c r="C51" t="s">
        <v>17</v>
      </c>
      <c r="G51" s="2">
        <f>IF(Table3[[#This Row],[Open ML (Home)]]&lt;0,-Table3[[#This Row],[Open ML (Home)]]/(-Table3[[#This Row],[Open ML (Home)]]+100),100/(Table3[[#This Row],[Open ML (Home)]]+100))</f>
        <v>1</v>
      </c>
      <c r="I51" s="5">
        <f>IF(Table3[[#This Row],[Close ML (Home)]]&lt;0,-Table3[[#This Row],[Close ML (Home)]]/(-Table3[[#This Row],[Close ML (Home)]]+100),100/(Table3[[#This Row],[Close ML (Home)]]+100))</f>
        <v>1</v>
      </c>
      <c r="K51" s="5">
        <f>IF(Table3[[#This Row],[Open ML (Away)]]&lt;0,-Table3[[#This Row],[Open ML (Away)]]/(-Table3[[#This Row],[Open ML (Away)]]+100),100/(Table3[[#This Row],[Open ML (Away)]]+100))</f>
        <v>1</v>
      </c>
      <c r="M51" s="5">
        <f>IF(Table3[[#This Row],[Close ML (Away)]]&lt;0,-Table3[[#This Row],[Close ML (Away)]]/(-Table3[[#This Row],[Close ML (Away)]]+100),100/(Table3[[#This Row],[Close ML (Away)]]+100))</f>
        <v>1</v>
      </c>
    </row>
    <row r="52" spans="1:13" x14ac:dyDescent="0.25">
      <c r="A52">
        <v>13</v>
      </c>
      <c r="B52" t="s">
        <v>27</v>
      </c>
      <c r="C52" t="s">
        <v>32</v>
      </c>
      <c r="G52" s="2">
        <f>IF(Table3[[#This Row],[Open ML (Home)]]&lt;0,-Table3[[#This Row],[Open ML (Home)]]/(-Table3[[#This Row],[Open ML (Home)]]+100),100/(Table3[[#This Row],[Open ML (Home)]]+100))</f>
        <v>1</v>
      </c>
      <c r="I52" s="5">
        <f>IF(Table3[[#This Row],[Close ML (Home)]]&lt;0,-Table3[[#This Row],[Close ML (Home)]]/(-Table3[[#This Row],[Close ML (Home)]]+100),100/(Table3[[#This Row],[Close ML (Home)]]+100))</f>
        <v>1</v>
      </c>
      <c r="K52" s="5">
        <f>IF(Table3[[#This Row],[Open ML (Away)]]&lt;0,-Table3[[#This Row],[Open ML (Away)]]/(-Table3[[#This Row],[Open ML (Away)]]+100),100/(Table3[[#This Row],[Open ML (Away)]]+100))</f>
        <v>1</v>
      </c>
      <c r="M52" s="5">
        <f>IF(Table3[[#This Row],[Close ML (Away)]]&lt;0,-Table3[[#This Row],[Close ML (Away)]]/(-Table3[[#This Row],[Close ML (Away)]]+100),100/(Table3[[#This Row],[Close ML (Away)]]+100))</f>
        <v>1</v>
      </c>
    </row>
    <row r="53" spans="1:13" x14ac:dyDescent="0.25">
      <c r="A53">
        <v>13</v>
      </c>
      <c r="B53" t="s">
        <v>7</v>
      </c>
      <c r="C53" t="s">
        <v>13</v>
      </c>
      <c r="G53" s="2">
        <f>IF(Table3[[#This Row],[Open ML (Home)]]&lt;0,-Table3[[#This Row],[Open ML (Home)]]/(-Table3[[#This Row],[Open ML (Home)]]+100),100/(Table3[[#This Row],[Open ML (Home)]]+100))</f>
        <v>1</v>
      </c>
      <c r="I53" s="5">
        <f>IF(Table3[[#This Row],[Close ML (Home)]]&lt;0,-Table3[[#This Row],[Close ML (Home)]]/(-Table3[[#This Row],[Close ML (Home)]]+100),100/(Table3[[#This Row],[Close ML (Home)]]+100))</f>
        <v>1</v>
      </c>
      <c r="K53" s="5">
        <f>IF(Table3[[#This Row],[Open ML (Away)]]&lt;0,-Table3[[#This Row],[Open ML (Away)]]/(-Table3[[#This Row],[Open ML (Away)]]+100),100/(Table3[[#This Row],[Open ML (Away)]]+100))</f>
        <v>1</v>
      </c>
      <c r="M53" s="5">
        <f>IF(Table3[[#This Row],[Close ML (Away)]]&lt;0,-Table3[[#This Row],[Close ML (Away)]]/(-Table3[[#This Row],[Close ML (Away)]]+100),100/(Table3[[#This Row],[Close ML (Away)]]+100))</f>
        <v>1</v>
      </c>
    </row>
    <row r="54" spans="1:13" x14ac:dyDescent="0.25">
      <c r="A54">
        <v>13</v>
      </c>
      <c r="B54" t="s">
        <v>16</v>
      </c>
      <c r="C54" t="s">
        <v>23</v>
      </c>
      <c r="G54" s="2">
        <f>IF(Table3[[#This Row],[Open ML (Home)]]&lt;0,-Table3[[#This Row],[Open ML (Home)]]/(-Table3[[#This Row],[Open ML (Home)]]+100),100/(Table3[[#This Row],[Open ML (Home)]]+100))</f>
        <v>1</v>
      </c>
      <c r="I54" s="5">
        <f>IF(Table3[[#This Row],[Close ML (Home)]]&lt;0,-Table3[[#This Row],[Close ML (Home)]]/(-Table3[[#This Row],[Close ML (Home)]]+100),100/(Table3[[#This Row],[Close ML (Home)]]+100))</f>
        <v>1</v>
      </c>
      <c r="K54" s="5">
        <f>IF(Table3[[#This Row],[Open ML (Away)]]&lt;0,-Table3[[#This Row],[Open ML (Away)]]/(-Table3[[#This Row],[Open ML (Away)]]+100),100/(Table3[[#This Row],[Open ML (Away)]]+100))</f>
        <v>1</v>
      </c>
      <c r="M54" s="5">
        <f>IF(Table3[[#This Row],[Close ML (Away)]]&lt;0,-Table3[[#This Row],[Close ML (Away)]]/(-Table3[[#This Row],[Close ML (Away)]]+100),100/(Table3[[#This Row],[Close ML (Away)]]+100))</f>
        <v>1</v>
      </c>
    </row>
    <row r="55" spans="1:13" x14ac:dyDescent="0.25">
      <c r="A55">
        <v>13</v>
      </c>
      <c r="B55" t="s">
        <v>15</v>
      </c>
      <c r="C55" t="s">
        <v>6</v>
      </c>
      <c r="G55" s="2">
        <f>IF(Table3[[#This Row],[Open ML (Home)]]&lt;0,-Table3[[#This Row],[Open ML (Home)]]/(-Table3[[#This Row],[Open ML (Home)]]+100),100/(Table3[[#This Row],[Open ML (Home)]]+100))</f>
        <v>1</v>
      </c>
      <c r="I55" s="5">
        <f>IF(Table3[[#This Row],[Close ML (Home)]]&lt;0,-Table3[[#This Row],[Close ML (Home)]]/(-Table3[[#This Row],[Close ML (Home)]]+100),100/(Table3[[#This Row],[Close ML (Home)]]+100))</f>
        <v>1</v>
      </c>
      <c r="K55" s="5">
        <f>IF(Table3[[#This Row],[Open ML (Away)]]&lt;0,-Table3[[#This Row],[Open ML (Away)]]/(-Table3[[#This Row],[Open ML (Away)]]+100),100/(Table3[[#This Row],[Open ML (Away)]]+100))</f>
        <v>1</v>
      </c>
      <c r="M55" s="5">
        <f>IF(Table3[[#This Row],[Close ML (Away)]]&lt;0,-Table3[[#This Row],[Close ML (Away)]]/(-Table3[[#This Row],[Close ML (Away)]]+100),100/(Table3[[#This Row],[Close ML (Away)]]+100))</f>
        <v>1</v>
      </c>
    </row>
    <row r="56" spans="1:13" x14ac:dyDescent="0.25">
      <c r="A56">
        <v>13</v>
      </c>
      <c r="B56" t="s">
        <v>29</v>
      </c>
      <c r="C56" t="s">
        <v>25</v>
      </c>
      <c r="G56" s="2">
        <f>IF(Table3[[#This Row],[Open ML (Home)]]&lt;0,-Table3[[#This Row],[Open ML (Home)]]/(-Table3[[#This Row],[Open ML (Home)]]+100),100/(Table3[[#This Row],[Open ML (Home)]]+100))</f>
        <v>1</v>
      </c>
      <c r="I56" s="5">
        <f>IF(Table3[[#This Row],[Close ML (Home)]]&lt;0,-Table3[[#This Row],[Close ML (Home)]]/(-Table3[[#This Row],[Close ML (Home)]]+100),100/(Table3[[#This Row],[Close ML (Home)]]+100))</f>
        <v>1</v>
      </c>
      <c r="K56" s="5">
        <f>IF(Table3[[#This Row],[Open ML (Away)]]&lt;0,-Table3[[#This Row],[Open ML (Away)]]/(-Table3[[#This Row],[Open ML (Away)]]+100),100/(Table3[[#This Row],[Open ML (Away)]]+100))</f>
        <v>1</v>
      </c>
      <c r="M56" s="5">
        <f>IF(Table3[[#This Row],[Close ML (Away)]]&lt;0,-Table3[[#This Row],[Close ML (Away)]]/(-Table3[[#This Row],[Close ML (Away)]]+100),100/(Table3[[#This Row],[Close ML (Away)]]+100))</f>
        <v>1</v>
      </c>
    </row>
    <row r="57" spans="1:13" x14ac:dyDescent="0.25">
      <c r="A57">
        <v>13</v>
      </c>
      <c r="B57" t="s">
        <v>18</v>
      </c>
      <c r="C57" t="s">
        <v>19</v>
      </c>
      <c r="G57" s="2">
        <f>IF(Table3[[#This Row],[Open ML (Home)]]&lt;0,-Table3[[#This Row],[Open ML (Home)]]/(-Table3[[#This Row],[Open ML (Home)]]+100),100/(Table3[[#This Row],[Open ML (Home)]]+100))</f>
        <v>1</v>
      </c>
      <c r="I57" s="5">
        <f>IF(Table3[[#This Row],[Close ML (Home)]]&lt;0,-Table3[[#This Row],[Close ML (Home)]]/(-Table3[[#This Row],[Close ML (Home)]]+100),100/(Table3[[#This Row],[Close ML (Home)]]+100))</f>
        <v>1</v>
      </c>
      <c r="K57" s="5">
        <f>IF(Table3[[#This Row],[Open ML (Away)]]&lt;0,-Table3[[#This Row],[Open ML (Away)]]/(-Table3[[#This Row],[Open ML (Away)]]+100),100/(Table3[[#This Row],[Open ML (Away)]]+100))</f>
        <v>1</v>
      </c>
      <c r="M57" s="5">
        <f>IF(Table3[[#This Row],[Close ML (Away)]]&lt;0,-Table3[[#This Row],[Close ML (Away)]]/(-Table3[[#This Row],[Close ML (Away)]]+100),100/(Table3[[#This Row],[Close ML (Away)]]+100))</f>
        <v>1</v>
      </c>
    </row>
    <row r="58" spans="1:13" x14ac:dyDescent="0.25">
      <c r="A58">
        <v>13</v>
      </c>
      <c r="B58" t="s">
        <v>28</v>
      </c>
      <c r="C58" t="s">
        <v>30</v>
      </c>
      <c r="G58" s="2">
        <f>IF(Table3[[#This Row],[Open ML (Home)]]&lt;0,-Table3[[#This Row],[Open ML (Home)]]/(-Table3[[#This Row],[Open ML (Home)]]+100),100/(Table3[[#This Row],[Open ML (Home)]]+100))</f>
        <v>1</v>
      </c>
      <c r="I58" s="5">
        <f>IF(Table3[[#This Row],[Close ML (Home)]]&lt;0,-Table3[[#This Row],[Close ML (Home)]]/(-Table3[[#This Row],[Close ML (Home)]]+100),100/(Table3[[#This Row],[Close ML (Home)]]+100))</f>
        <v>1</v>
      </c>
      <c r="K58" s="5">
        <f>IF(Table3[[#This Row],[Open ML (Away)]]&lt;0,-Table3[[#This Row],[Open ML (Away)]]/(-Table3[[#This Row],[Open ML (Away)]]+100),100/(Table3[[#This Row],[Open ML (Away)]]+100))</f>
        <v>1</v>
      </c>
      <c r="M58" s="5">
        <f>IF(Table3[[#This Row],[Close ML (Away)]]&lt;0,-Table3[[#This Row],[Close ML (Away)]]/(-Table3[[#This Row],[Close ML (Away)]]+100),100/(Table3[[#This Row],[Close ML (Away)]]+100))</f>
        <v>1</v>
      </c>
    </row>
    <row r="59" spans="1:13" x14ac:dyDescent="0.25">
      <c r="A59">
        <v>13</v>
      </c>
      <c r="B59" t="s">
        <v>21</v>
      </c>
      <c r="C59" t="s">
        <v>2</v>
      </c>
      <c r="G59" s="2">
        <f>IF(Table3[[#This Row],[Open ML (Home)]]&lt;0,-Table3[[#This Row],[Open ML (Home)]]/(-Table3[[#This Row],[Open ML (Home)]]+100),100/(Table3[[#This Row],[Open ML (Home)]]+100))</f>
        <v>1</v>
      </c>
      <c r="I59" s="5">
        <f>IF(Table3[[#This Row],[Close ML (Home)]]&lt;0,-Table3[[#This Row],[Close ML (Home)]]/(-Table3[[#This Row],[Close ML (Home)]]+100),100/(Table3[[#This Row],[Close ML (Home)]]+100))</f>
        <v>1</v>
      </c>
      <c r="K59" s="5">
        <f>IF(Table3[[#This Row],[Open ML (Away)]]&lt;0,-Table3[[#This Row],[Open ML (Away)]]/(-Table3[[#This Row],[Open ML (Away)]]+100),100/(Table3[[#This Row],[Open ML (Away)]]+100))</f>
        <v>1</v>
      </c>
      <c r="M59" s="5">
        <f>IF(Table3[[#This Row],[Close ML (Away)]]&lt;0,-Table3[[#This Row],[Close ML (Away)]]/(-Table3[[#This Row],[Close ML (Away)]]+100),100/(Table3[[#This Row],[Close ML (Away)]]+100))</f>
        <v>1</v>
      </c>
    </row>
    <row r="60" spans="1:13" x14ac:dyDescent="0.25">
      <c r="A60">
        <v>13</v>
      </c>
      <c r="B60" t="s">
        <v>8</v>
      </c>
      <c r="C60" t="s">
        <v>24</v>
      </c>
      <c r="G60" s="2">
        <f>IF(Table3[[#This Row],[Open ML (Home)]]&lt;0,-Table3[[#This Row],[Open ML (Home)]]/(-Table3[[#This Row],[Open ML (Home)]]+100),100/(Table3[[#This Row],[Open ML (Home)]]+100))</f>
        <v>1</v>
      </c>
      <c r="I60" s="5">
        <f>IF(Table3[[#This Row],[Close ML (Home)]]&lt;0,-Table3[[#This Row],[Close ML (Home)]]/(-Table3[[#This Row],[Close ML (Home)]]+100),100/(Table3[[#This Row],[Close ML (Home)]]+100))</f>
        <v>1</v>
      </c>
      <c r="K60" s="5">
        <f>IF(Table3[[#This Row],[Open ML (Away)]]&lt;0,-Table3[[#This Row],[Open ML (Away)]]/(-Table3[[#This Row],[Open ML (Away)]]+100),100/(Table3[[#This Row],[Open ML (Away)]]+100))</f>
        <v>1</v>
      </c>
      <c r="M60" s="5">
        <f>IF(Table3[[#This Row],[Close ML (Away)]]&lt;0,-Table3[[#This Row],[Close ML (Away)]]/(-Table3[[#This Row],[Close ML (Away)]]+100),100/(Table3[[#This Row],[Close ML (Away)]]+100))</f>
        <v>1</v>
      </c>
    </row>
    <row r="61" spans="1:13" x14ac:dyDescent="0.25">
      <c r="A61">
        <v>14</v>
      </c>
      <c r="B61" t="s">
        <v>17</v>
      </c>
      <c r="C61" t="s">
        <v>15</v>
      </c>
      <c r="G61" s="2">
        <f>IF(Table3[[#This Row],[Open ML (Home)]]&lt;0,-Table3[[#This Row],[Open ML (Home)]]/(-Table3[[#This Row],[Open ML (Home)]]+100),100/(Table3[[#This Row],[Open ML (Home)]]+100))</f>
        <v>1</v>
      </c>
      <c r="I61" s="5">
        <f>IF(Table3[[#This Row],[Close ML (Home)]]&lt;0,-Table3[[#This Row],[Close ML (Home)]]/(-Table3[[#This Row],[Close ML (Home)]]+100),100/(Table3[[#This Row],[Close ML (Home)]]+100))</f>
        <v>1</v>
      </c>
      <c r="K61" s="5">
        <f>IF(Table3[[#This Row],[Open ML (Away)]]&lt;0,-Table3[[#This Row],[Open ML (Away)]]/(-Table3[[#This Row],[Open ML (Away)]]+100),100/(Table3[[#This Row],[Open ML (Away)]]+100))</f>
        <v>1</v>
      </c>
      <c r="M61" s="5">
        <f>IF(Table3[[#This Row],[Close ML (Away)]]&lt;0,-Table3[[#This Row],[Close ML (Away)]]/(-Table3[[#This Row],[Close ML (Away)]]+100),100/(Table3[[#This Row],[Close ML (Away)]]+100))</f>
        <v>1</v>
      </c>
    </row>
    <row r="62" spans="1:13" x14ac:dyDescent="0.25">
      <c r="A62">
        <v>14</v>
      </c>
      <c r="B62" t="s">
        <v>4</v>
      </c>
      <c r="C62" t="s">
        <v>11</v>
      </c>
      <c r="G62" s="2">
        <f>IF(Table3[[#This Row],[Open ML (Home)]]&lt;0,-Table3[[#This Row],[Open ML (Home)]]/(-Table3[[#This Row],[Open ML (Home)]]+100),100/(Table3[[#This Row],[Open ML (Home)]]+100))</f>
        <v>1</v>
      </c>
      <c r="I62" s="5">
        <f>IF(Table3[[#This Row],[Close ML (Home)]]&lt;0,-Table3[[#This Row],[Close ML (Home)]]/(-Table3[[#This Row],[Close ML (Home)]]+100),100/(Table3[[#This Row],[Close ML (Home)]]+100))</f>
        <v>1</v>
      </c>
      <c r="K62" s="5">
        <f>IF(Table3[[#This Row],[Open ML (Away)]]&lt;0,-Table3[[#This Row],[Open ML (Away)]]/(-Table3[[#This Row],[Open ML (Away)]]+100),100/(Table3[[#This Row],[Open ML (Away)]]+100))</f>
        <v>1</v>
      </c>
      <c r="M62" s="5">
        <f>IF(Table3[[#This Row],[Close ML (Away)]]&lt;0,-Table3[[#This Row],[Close ML (Away)]]/(-Table3[[#This Row],[Close ML (Away)]]+100),100/(Table3[[#This Row],[Close ML (Away)]]+100))</f>
        <v>1</v>
      </c>
    </row>
    <row r="63" spans="1:13" x14ac:dyDescent="0.25">
      <c r="A63">
        <v>14</v>
      </c>
      <c r="B63" t="s">
        <v>14</v>
      </c>
      <c r="C63" t="s">
        <v>7</v>
      </c>
      <c r="G63" s="2">
        <f>IF(Table3[[#This Row],[Open ML (Home)]]&lt;0,-Table3[[#This Row],[Open ML (Home)]]/(-Table3[[#This Row],[Open ML (Home)]]+100),100/(Table3[[#This Row],[Open ML (Home)]]+100))</f>
        <v>1</v>
      </c>
      <c r="I63" s="5">
        <f>IF(Table3[[#This Row],[Close ML (Home)]]&lt;0,-Table3[[#This Row],[Close ML (Home)]]/(-Table3[[#This Row],[Close ML (Home)]]+100),100/(Table3[[#This Row],[Close ML (Home)]]+100))</f>
        <v>1</v>
      </c>
      <c r="K63" s="5">
        <f>IF(Table3[[#This Row],[Open ML (Away)]]&lt;0,-Table3[[#This Row],[Open ML (Away)]]/(-Table3[[#This Row],[Open ML (Away)]]+100),100/(Table3[[#This Row],[Open ML (Away)]]+100))</f>
        <v>1</v>
      </c>
      <c r="M63" s="5">
        <f>IF(Table3[[#This Row],[Close ML (Away)]]&lt;0,-Table3[[#This Row],[Close ML (Away)]]/(-Table3[[#This Row],[Close ML (Away)]]+100),100/(Table3[[#This Row],[Close ML (Away)]]+100))</f>
        <v>1</v>
      </c>
    </row>
    <row r="64" spans="1:13" x14ac:dyDescent="0.25">
      <c r="A64">
        <v>14</v>
      </c>
      <c r="B64" t="s">
        <v>12</v>
      </c>
      <c r="C64" t="s">
        <v>1</v>
      </c>
      <c r="G64" s="2">
        <f>IF(Table3[[#This Row],[Open ML (Home)]]&lt;0,-Table3[[#This Row],[Open ML (Home)]]/(-Table3[[#This Row],[Open ML (Home)]]+100),100/(Table3[[#This Row],[Open ML (Home)]]+100))</f>
        <v>1</v>
      </c>
      <c r="I64" s="5">
        <f>IF(Table3[[#This Row],[Close ML (Home)]]&lt;0,-Table3[[#This Row],[Close ML (Home)]]/(-Table3[[#This Row],[Close ML (Home)]]+100),100/(Table3[[#This Row],[Close ML (Home)]]+100))</f>
        <v>1</v>
      </c>
      <c r="K64" s="5">
        <f>IF(Table3[[#This Row],[Open ML (Away)]]&lt;0,-Table3[[#This Row],[Open ML (Away)]]/(-Table3[[#This Row],[Open ML (Away)]]+100),100/(Table3[[#This Row],[Open ML (Away)]]+100))</f>
        <v>1</v>
      </c>
      <c r="M64" s="5">
        <f>IF(Table3[[#This Row],[Close ML (Away)]]&lt;0,-Table3[[#This Row],[Close ML (Away)]]/(-Table3[[#This Row],[Close ML (Away)]]+100),100/(Table3[[#This Row],[Close ML (Away)]]+100))</f>
        <v>1</v>
      </c>
    </row>
    <row r="65" spans="1:13" x14ac:dyDescent="0.25">
      <c r="A65">
        <v>14</v>
      </c>
      <c r="B65" t="s">
        <v>23</v>
      </c>
      <c r="C65" t="s">
        <v>10</v>
      </c>
      <c r="G65" s="2">
        <f>IF(Table3[[#This Row],[Open ML (Home)]]&lt;0,-Table3[[#This Row],[Open ML (Home)]]/(-Table3[[#This Row],[Open ML (Home)]]+100),100/(Table3[[#This Row],[Open ML (Home)]]+100))</f>
        <v>1</v>
      </c>
      <c r="I65" s="5">
        <f>IF(Table3[[#This Row],[Close ML (Home)]]&lt;0,-Table3[[#This Row],[Close ML (Home)]]/(-Table3[[#This Row],[Close ML (Home)]]+100),100/(Table3[[#This Row],[Close ML (Home)]]+100))</f>
        <v>1</v>
      </c>
      <c r="K65" s="5">
        <f>IF(Table3[[#This Row],[Open ML (Away)]]&lt;0,-Table3[[#This Row],[Open ML (Away)]]/(-Table3[[#This Row],[Open ML (Away)]]+100),100/(Table3[[#This Row],[Open ML (Away)]]+100))</f>
        <v>1</v>
      </c>
      <c r="M65" s="5">
        <f>IF(Table3[[#This Row],[Close ML (Away)]]&lt;0,-Table3[[#This Row],[Close ML (Away)]]/(-Table3[[#This Row],[Close ML (Away)]]+100),100/(Table3[[#This Row],[Close ML (Away)]]+100))</f>
        <v>1</v>
      </c>
    </row>
    <row r="66" spans="1:13" x14ac:dyDescent="0.25">
      <c r="A66">
        <v>14</v>
      </c>
      <c r="B66" t="s">
        <v>19</v>
      </c>
      <c r="C66" t="s">
        <v>16</v>
      </c>
      <c r="G66" s="2">
        <f>IF(Table3[[#This Row],[Open ML (Home)]]&lt;0,-Table3[[#This Row],[Open ML (Home)]]/(-Table3[[#This Row],[Open ML (Home)]]+100),100/(Table3[[#This Row],[Open ML (Home)]]+100))</f>
        <v>1</v>
      </c>
      <c r="I66" s="5">
        <f>IF(Table3[[#This Row],[Close ML (Home)]]&lt;0,-Table3[[#This Row],[Close ML (Home)]]/(-Table3[[#This Row],[Close ML (Home)]]+100),100/(Table3[[#This Row],[Close ML (Home)]]+100))</f>
        <v>1</v>
      </c>
      <c r="K66" s="5">
        <f>IF(Table3[[#This Row],[Open ML (Away)]]&lt;0,-Table3[[#This Row],[Open ML (Away)]]/(-Table3[[#This Row],[Open ML (Away)]]+100),100/(Table3[[#This Row],[Open ML (Away)]]+100))</f>
        <v>1</v>
      </c>
      <c r="M66" s="5">
        <f>IF(Table3[[#This Row],[Close ML (Away)]]&lt;0,-Table3[[#This Row],[Close ML (Away)]]/(-Table3[[#This Row],[Close ML (Away)]]+100),100/(Table3[[#This Row],[Close ML (Away)]]+100))</f>
        <v>1</v>
      </c>
    </row>
    <row r="67" spans="1:13" x14ac:dyDescent="0.25">
      <c r="A67">
        <v>14</v>
      </c>
      <c r="B67" t="s">
        <v>6</v>
      </c>
      <c r="C67" t="s">
        <v>29</v>
      </c>
      <c r="G67" s="2">
        <f>IF(Table3[[#This Row],[Open ML (Home)]]&lt;0,-Table3[[#This Row],[Open ML (Home)]]/(-Table3[[#This Row],[Open ML (Home)]]+100),100/(Table3[[#This Row],[Open ML (Home)]]+100))</f>
        <v>1</v>
      </c>
      <c r="I67" s="5">
        <f>IF(Table3[[#This Row],[Close ML (Home)]]&lt;0,-Table3[[#This Row],[Close ML (Home)]]/(-Table3[[#This Row],[Close ML (Home)]]+100),100/(Table3[[#This Row],[Close ML (Home)]]+100))</f>
        <v>1</v>
      </c>
      <c r="K67" s="5">
        <f>IF(Table3[[#This Row],[Open ML (Away)]]&lt;0,-Table3[[#This Row],[Open ML (Away)]]/(-Table3[[#This Row],[Open ML (Away)]]+100),100/(Table3[[#This Row],[Open ML (Away)]]+100))</f>
        <v>1</v>
      </c>
      <c r="M67" s="5">
        <f>IF(Table3[[#This Row],[Close ML (Away)]]&lt;0,-Table3[[#This Row],[Close ML (Away)]]/(-Table3[[#This Row],[Close ML (Away)]]+100),100/(Table3[[#This Row],[Close ML (Away)]]+100))</f>
        <v>1</v>
      </c>
    </row>
    <row r="68" spans="1:13" x14ac:dyDescent="0.25">
      <c r="A68">
        <v>14</v>
      </c>
      <c r="B68" t="s">
        <v>24</v>
      </c>
      <c r="C68" t="s">
        <v>9</v>
      </c>
      <c r="G68" s="2">
        <f>IF(Table3[[#This Row],[Open ML (Home)]]&lt;0,-Table3[[#This Row],[Open ML (Home)]]/(-Table3[[#This Row],[Open ML (Home)]]+100),100/(Table3[[#This Row],[Open ML (Home)]]+100))</f>
        <v>1</v>
      </c>
      <c r="I68" s="5">
        <f>IF(Table3[[#This Row],[Close ML (Home)]]&lt;0,-Table3[[#This Row],[Close ML (Home)]]/(-Table3[[#This Row],[Close ML (Home)]]+100),100/(Table3[[#This Row],[Close ML (Home)]]+100))</f>
        <v>1</v>
      </c>
      <c r="K68" s="5">
        <f>IF(Table3[[#This Row],[Open ML (Away)]]&lt;0,-Table3[[#This Row],[Open ML (Away)]]/(-Table3[[#This Row],[Open ML (Away)]]+100),100/(Table3[[#This Row],[Open ML (Away)]]+100))</f>
        <v>1</v>
      </c>
      <c r="M68" s="5">
        <f>IF(Table3[[#This Row],[Close ML (Away)]]&lt;0,-Table3[[#This Row],[Close ML (Away)]]/(-Table3[[#This Row],[Close ML (Away)]]+100),100/(Table3[[#This Row],[Close ML (Away)]]+100))</f>
        <v>1</v>
      </c>
    </row>
    <row r="69" spans="1:13" x14ac:dyDescent="0.25">
      <c r="A69">
        <v>14</v>
      </c>
      <c r="B69" t="s">
        <v>2</v>
      </c>
      <c r="C69" t="s">
        <v>18</v>
      </c>
      <c r="G69" s="2">
        <f>IF(Table3[[#This Row],[Open ML (Home)]]&lt;0,-Table3[[#This Row],[Open ML (Home)]]/(-Table3[[#This Row],[Open ML (Home)]]+100),100/(Table3[[#This Row],[Open ML (Home)]]+100))</f>
        <v>1</v>
      </c>
      <c r="I69" s="5">
        <f>IF(Table3[[#This Row],[Close ML (Home)]]&lt;0,-Table3[[#This Row],[Close ML (Home)]]/(-Table3[[#This Row],[Close ML (Home)]]+100),100/(Table3[[#This Row],[Close ML (Home)]]+100))</f>
        <v>1</v>
      </c>
      <c r="K69" s="5">
        <f>IF(Table3[[#This Row],[Open ML (Away)]]&lt;0,-Table3[[#This Row],[Open ML (Away)]]/(-Table3[[#This Row],[Open ML (Away)]]+100),100/(Table3[[#This Row],[Open ML (Away)]]+100))</f>
        <v>1</v>
      </c>
      <c r="M69" s="5">
        <f>IF(Table3[[#This Row],[Close ML (Away)]]&lt;0,-Table3[[#This Row],[Close ML (Away)]]/(-Table3[[#This Row],[Close ML (Away)]]+100),100/(Table3[[#This Row],[Close ML (Away)]]+100))</f>
        <v>1</v>
      </c>
    </row>
    <row r="70" spans="1:13" x14ac:dyDescent="0.25">
      <c r="A70">
        <v>14</v>
      </c>
      <c r="B70" t="s">
        <v>13</v>
      </c>
      <c r="C70" t="s">
        <v>30</v>
      </c>
      <c r="G70" s="2">
        <f>IF(Table3[[#This Row],[Open ML (Home)]]&lt;0,-Table3[[#This Row],[Open ML (Home)]]/(-Table3[[#This Row],[Open ML (Home)]]+100),100/(Table3[[#This Row],[Open ML (Home)]]+100))</f>
        <v>1</v>
      </c>
      <c r="I70" s="5">
        <f>IF(Table3[[#This Row],[Close ML (Home)]]&lt;0,-Table3[[#This Row],[Close ML (Home)]]/(-Table3[[#This Row],[Close ML (Home)]]+100),100/(Table3[[#This Row],[Close ML (Home)]]+100))</f>
        <v>1</v>
      </c>
      <c r="K70" s="5">
        <f>IF(Table3[[#This Row],[Open ML (Away)]]&lt;0,-Table3[[#This Row],[Open ML (Away)]]/(-Table3[[#This Row],[Open ML (Away)]]+100),100/(Table3[[#This Row],[Open ML (Away)]]+100))</f>
        <v>1</v>
      </c>
      <c r="M70" s="5">
        <f>IF(Table3[[#This Row],[Close ML (Away)]]&lt;0,-Table3[[#This Row],[Close ML (Away)]]/(-Table3[[#This Row],[Close ML (Away)]]+100),100/(Table3[[#This Row],[Close ML (Away)]]+100))</f>
        <v>1</v>
      </c>
    </row>
    <row r="71" spans="1:13" x14ac:dyDescent="0.25">
      <c r="A71">
        <v>14</v>
      </c>
      <c r="B71" t="s">
        <v>22</v>
      </c>
      <c r="C71" t="s">
        <v>28</v>
      </c>
      <c r="G71" s="2">
        <f>IF(Table3[[#This Row],[Open ML (Home)]]&lt;0,-Table3[[#This Row],[Open ML (Home)]]/(-Table3[[#This Row],[Open ML (Home)]]+100),100/(Table3[[#This Row],[Open ML (Home)]]+100))</f>
        <v>1</v>
      </c>
      <c r="I71" s="5">
        <f>IF(Table3[[#This Row],[Close ML (Home)]]&lt;0,-Table3[[#This Row],[Close ML (Home)]]/(-Table3[[#This Row],[Close ML (Home)]]+100),100/(Table3[[#This Row],[Close ML (Home)]]+100))</f>
        <v>1</v>
      </c>
      <c r="K71" s="5">
        <f>IF(Table3[[#This Row],[Open ML (Away)]]&lt;0,-Table3[[#This Row],[Open ML (Away)]]/(-Table3[[#This Row],[Open ML (Away)]]+100),100/(Table3[[#This Row],[Open ML (Away)]]+100))</f>
        <v>1</v>
      </c>
      <c r="M71" s="5">
        <f>IF(Table3[[#This Row],[Close ML (Away)]]&lt;0,-Table3[[#This Row],[Close ML (Away)]]/(-Table3[[#This Row],[Close ML (Away)]]+100),100/(Table3[[#This Row],[Close ML (Away)]]+100))</f>
        <v>1</v>
      </c>
    </row>
    <row r="72" spans="1:13" x14ac:dyDescent="0.25">
      <c r="A72">
        <v>14</v>
      </c>
      <c r="B72" t="s">
        <v>31</v>
      </c>
      <c r="C72" t="s">
        <v>8</v>
      </c>
      <c r="G72" s="2">
        <f>IF(Table3[[#This Row],[Open ML (Home)]]&lt;0,-Table3[[#This Row],[Open ML (Home)]]/(-Table3[[#This Row],[Open ML (Home)]]+100),100/(Table3[[#This Row],[Open ML (Home)]]+100))</f>
        <v>1</v>
      </c>
      <c r="I72" s="5">
        <f>IF(Table3[[#This Row],[Close ML (Home)]]&lt;0,-Table3[[#This Row],[Close ML (Home)]]/(-Table3[[#This Row],[Close ML (Home)]]+100),100/(Table3[[#This Row],[Close ML (Home)]]+100))</f>
        <v>1</v>
      </c>
      <c r="K72" s="5">
        <f>IF(Table3[[#This Row],[Open ML (Away)]]&lt;0,-Table3[[#This Row],[Open ML (Away)]]/(-Table3[[#This Row],[Open ML (Away)]]+100),100/(Table3[[#This Row],[Open ML (Away)]]+100))</f>
        <v>1</v>
      </c>
      <c r="M72" s="5">
        <f>IF(Table3[[#This Row],[Close ML (Away)]]&lt;0,-Table3[[#This Row],[Close ML (Away)]]/(-Table3[[#This Row],[Close ML (Away)]]+100),100/(Table3[[#This Row],[Close ML (Away)]]+100))</f>
        <v>1</v>
      </c>
    </row>
    <row r="73" spans="1:13" x14ac:dyDescent="0.25">
      <c r="A73">
        <v>14</v>
      </c>
      <c r="B73" t="s">
        <v>3</v>
      </c>
      <c r="C73" t="s">
        <v>21</v>
      </c>
      <c r="G73" s="2">
        <f>IF(Table3[[#This Row],[Open ML (Home)]]&lt;0,-Table3[[#This Row],[Open ML (Home)]]/(-Table3[[#This Row],[Open ML (Home)]]+100),100/(Table3[[#This Row],[Open ML (Home)]]+100))</f>
        <v>1</v>
      </c>
      <c r="I73" s="5">
        <f>IF(Table3[[#This Row],[Close ML (Home)]]&lt;0,-Table3[[#This Row],[Close ML (Home)]]/(-Table3[[#This Row],[Close ML (Home)]]+100),100/(Table3[[#This Row],[Close ML (Home)]]+100))</f>
        <v>1</v>
      </c>
      <c r="K73" s="5">
        <f>IF(Table3[[#This Row],[Open ML (Away)]]&lt;0,-Table3[[#This Row],[Open ML (Away)]]/(-Table3[[#This Row],[Open ML (Away)]]+100),100/(Table3[[#This Row],[Open ML (Away)]]+100))</f>
        <v>1</v>
      </c>
      <c r="M73" s="5">
        <f>IF(Table3[[#This Row],[Close ML (Away)]]&lt;0,-Table3[[#This Row],[Close ML (Away)]]/(-Table3[[#This Row],[Close ML (Away)]]+100),100/(Table3[[#This Row],[Close ML (Away)]]+100))</f>
        <v>1</v>
      </c>
    </row>
    <row r="74" spans="1:13" x14ac:dyDescent="0.25">
      <c r="A74">
        <v>14</v>
      </c>
      <c r="B74" t="s">
        <v>32</v>
      </c>
      <c r="C74" t="s">
        <v>20</v>
      </c>
      <c r="G74" s="2">
        <f>IF(Table3[[#This Row],[Open ML (Home)]]&lt;0,-Table3[[#This Row],[Open ML (Home)]]/(-Table3[[#This Row],[Open ML (Home)]]+100),100/(Table3[[#This Row],[Open ML (Home)]]+100))</f>
        <v>1</v>
      </c>
      <c r="I74" s="5">
        <f>IF(Table3[[#This Row],[Close ML (Home)]]&lt;0,-Table3[[#This Row],[Close ML (Home)]]/(-Table3[[#This Row],[Close ML (Home)]]+100),100/(Table3[[#This Row],[Close ML (Home)]]+100))</f>
        <v>1</v>
      </c>
      <c r="K74" s="5">
        <f>IF(Table3[[#This Row],[Open ML (Away)]]&lt;0,-Table3[[#This Row],[Open ML (Away)]]/(-Table3[[#This Row],[Open ML (Away)]]+100),100/(Table3[[#This Row],[Open ML (Away)]]+100))</f>
        <v>1</v>
      </c>
      <c r="M74" s="5">
        <f>IF(Table3[[#This Row],[Close ML (Away)]]&lt;0,-Table3[[#This Row],[Close ML (Away)]]/(-Table3[[#This Row],[Close ML (Away)]]+100),100/(Table3[[#This Row],[Close ML (Away)]]+100))</f>
        <v>1</v>
      </c>
    </row>
    <row r="75" spans="1:13" x14ac:dyDescent="0.25">
      <c r="A75">
        <v>14</v>
      </c>
      <c r="B75" t="s">
        <v>25</v>
      </c>
      <c r="C75" t="s">
        <v>26</v>
      </c>
      <c r="G75" s="2">
        <f>IF(Table3[[#This Row],[Open ML (Home)]]&lt;0,-Table3[[#This Row],[Open ML (Home)]]/(-Table3[[#This Row],[Open ML (Home)]]+100),100/(Table3[[#This Row],[Open ML (Home)]]+100))</f>
        <v>1</v>
      </c>
      <c r="I75" s="5">
        <f>IF(Table3[[#This Row],[Close ML (Home)]]&lt;0,-Table3[[#This Row],[Close ML (Home)]]/(-Table3[[#This Row],[Close ML (Home)]]+100),100/(Table3[[#This Row],[Close ML (Home)]]+100))</f>
        <v>1</v>
      </c>
      <c r="K75" s="5">
        <f>IF(Table3[[#This Row],[Open ML (Away)]]&lt;0,-Table3[[#This Row],[Open ML (Away)]]/(-Table3[[#This Row],[Open ML (Away)]]+100),100/(Table3[[#This Row],[Open ML (Away)]]+100))</f>
        <v>1</v>
      </c>
      <c r="M75" s="5">
        <f>IF(Table3[[#This Row],[Close ML (Away)]]&lt;0,-Table3[[#This Row],[Close ML (Away)]]/(-Table3[[#This Row],[Close ML (Away)]]+100),100/(Table3[[#This Row],[Close ML (Away)]]+100))</f>
        <v>1</v>
      </c>
    </row>
    <row r="76" spans="1:13" x14ac:dyDescent="0.25">
      <c r="A76">
        <v>14</v>
      </c>
      <c r="B76" t="s">
        <v>27</v>
      </c>
      <c r="C76" t="s">
        <v>5</v>
      </c>
      <c r="G76" s="2">
        <f>IF(Table3[[#This Row],[Open ML (Home)]]&lt;0,-Table3[[#This Row],[Open ML (Home)]]/(-Table3[[#This Row],[Open ML (Home)]]+100),100/(Table3[[#This Row],[Open ML (Home)]]+100))</f>
        <v>1</v>
      </c>
      <c r="I76" s="5">
        <f>IF(Table3[[#This Row],[Close ML (Home)]]&lt;0,-Table3[[#This Row],[Close ML (Home)]]/(-Table3[[#This Row],[Close ML (Home)]]+100),100/(Table3[[#This Row],[Close ML (Home)]]+100))</f>
        <v>1</v>
      </c>
      <c r="K76" s="5">
        <f>IF(Table3[[#This Row],[Open ML (Away)]]&lt;0,-Table3[[#This Row],[Open ML (Away)]]/(-Table3[[#This Row],[Open ML (Away)]]+100),100/(Table3[[#This Row],[Open ML (Away)]]+100))</f>
        <v>1</v>
      </c>
      <c r="M76" s="5">
        <f>IF(Table3[[#This Row],[Close ML (Away)]]&lt;0,-Table3[[#This Row],[Close ML (Away)]]/(-Table3[[#This Row],[Close ML (Away)]]+100),100/(Table3[[#This Row],[Close ML (Away)]]+100))</f>
        <v>1</v>
      </c>
    </row>
    <row r="77" spans="1:13" x14ac:dyDescent="0.25">
      <c r="A77">
        <v>15</v>
      </c>
      <c r="B77" t="s">
        <v>21</v>
      </c>
      <c r="C77" t="s">
        <v>32</v>
      </c>
      <c r="G77" s="2">
        <f>IF(Table3[[#This Row],[Open ML (Home)]]&lt;0,-Table3[[#This Row],[Open ML (Home)]]/(-Table3[[#This Row],[Open ML (Home)]]+100),100/(Table3[[#This Row],[Open ML (Home)]]+100))</f>
        <v>1</v>
      </c>
      <c r="I77" s="5">
        <f>IF(Table3[[#This Row],[Close ML (Home)]]&lt;0,-Table3[[#This Row],[Close ML (Home)]]/(-Table3[[#This Row],[Close ML (Home)]]+100),100/(Table3[[#This Row],[Close ML (Home)]]+100))</f>
        <v>1</v>
      </c>
      <c r="K77" s="5">
        <f>IF(Table3[[#This Row],[Open ML (Away)]]&lt;0,-Table3[[#This Row],[Open ML (Away)]]/(-Table3[[#This Row],[Open ML (Away)]]+100),100/(Table3[[#This Row],[Open ML (Away)]]+100))</f>
        <v>1</v>
      </c>
      <c r="M77" s="5">
        <f>IF(Table3[[#This Row],[Close ML (Away)]]&lt;0,-Table3[[#This Row],[Close ML (Away)]]/(-Table3[[#This Row],[Close ML (Away)]]+100),100/(Table3[[#This Row],[Close ML (Away)]]+100))</f>
        <v>1</v>
      </c>
    </row>
    <row r="78" spans="1:13" x14ac:dyDescent="0.25">
      <c r="A78">
        <v>15</v>
      </c>
      <c r="B78" t="s">
        <v>8</v>
      </c>
      <c r="C78" t="s">
        <v>22</v>
      </c>
      <c r="G78" s="2">
        <f>IF(Table3[[#This Row],[Open ML (Home)]]&lt;0,-Table3[[#This Row],[Open ML (Home)]]/(-Table3[[#This Row],[Open ML (Home)]]+100),100/(Table3[[#This Row],[Open ML (Home)]]+100))</f>
        <v>1</v>
      </c>
      <c r="I78" s="5">
        <f>IF(Table3[[#This Row],[Close ML (Home)]]&lt;0,-Table3[[#This Row],[Close ML (Home)]]/(-Table3[[#This Row],[Close ML (Home)]]+100),100/(Table3[[#This Row],[Close ML (Home)]]+100))</f>
        <v>1</v>
      </c>
      <c r="K78" s="5">
        <f>IF(Table3[[#This Row],[Open ML (Away)]]&lt;0,-Table3[[#This Row],[Open ML (Away)]]/(-Table3[[#This Row],[Open ML (Away)]]+100),100/(Table3[[#This Row],[Open ML (Away)]]+100))</f>
        <v>1</v>
      </c>
      <c r="M78" s="5">
        <f>IF(Table3[[#This Row],[Close ML (Away)]]&lt;0,-Table3[[#This Row],[Close ML (Away)]]/(-Table3[[#This Row],[Close ML (Away)]]+100),100/(Table3[[#This Row],[Close ML (Away)]]+100))</f>
        <v>1</v>
      </c>
    </row>
    <row r="79" spans="1:13" x14ac:dyDescent="0.25">
      <c r="A79">
        <v>15</v>
      </c>
      <c r="B79" t="s">
        <v>17</v>
      </c>
      <c r="C79" t="s">
        <v>12</v>
      </c>
      <c r="G79" s="2">
        <f>IF(Table3[[#This Row],[Open ML (Home)]]&lt;0,-Table3[[#This Row],[Open ML (Home)]]/(-Table3[[#This Row],[Open ML (Home)]]+100),100/(Table3[[#This Row],[Open ML (Home)]]+100))</f>
        <v>1</v>
      </c>
      <c r="I79" s="5">
        <f>IF(Table3[[#This Row],[Close ML (Home)]]&lt;0,-Table3[[#This Row],[Close ML (Home)]]/(-Table3[[#This Row],[Close ML (Home)]]+100),100/(Table3[[#This Row],[Close ML (Home)]]+100))</f>
        <v>1</v>
      </c>
      <c r="K79" s="5">
        <f>IF(Table3[[#This Row],[Open ML (Away)]]&lt;0,-Table3[[#This Row],[Open ML (Away)]]/(-Table3[[#This Row],[Open ML (Away)]]+100),100/(Table3[[#This Row],[Open ML (Away)]]+100))</f>
        <v>1</v>
      </c>
      <c r="M79" s="5">
        <f>IF(Table3[[#This Row],[Close ML (Away)]]&lt;0,-Table3[[#This Row],[Close ML (Away)]]/(-Table3[[#This Row],[Close ML (Away)]]+100),100/(Table3[[#This Row],[Close ML (Away)]]+100))</f>
        <v>1</v>
      </c>
    </row>
    <row r="80" spans="1:13" x14ac:dyDescent="0.25">
      <c r="A80">
        <v>15</v>
      </c>
      <c r="B80" t="s">
        <v>6</v>
      </c>
      <c r="C80" t="s">
        <v>14</v>
      </c>
      <c r="G80" s="2">
        <f>IF(Table3[[#This Row],[Open ML (Home)]]&lt;0,-Table3[[#This Row],[Open ML (Home)]]/(-Table3[[#This Row],[Open ML (Home)]]+100),100/(Table3[[#This Row],[Open ML (Home)]]+100))</f>
        <v>1</v>
      </c>
      <c r="I80" s="5">
        <f>IF(Table3[[#This Row],[Close ML (Home)]]&lt;0,-Table3[[#This Row],[Close ML (Home)]]/(-Table3[[#This Row],[Close ML (Home)]]+100),100/(Table3[[#This Row],[Close ML (Home)]]+100))</f>
        <v>1</v>
      </c>
      <c r="K80" s="5">
        <f>IF(Table3[[#This Row],[Open ML (Away)]]&lt;0,-Table3[[#This Row],[Open ML (Away)]]/(-Table3[[#This Row],[Open ML (Away)]]+100),100/(Table3[[#This Row],[Open ML (Away)]]+100))</f>
        <v>1</v>
      </c>
      <c r="M80" s="5">
        <f>IF(Table3[[#This Row],[Close ML (Away)]]&lt;0,-Table3[[#This Row],[Close ML (Away)]]/(-Table3[[#This Row],[Close ML (Away)]]+100),100/(Table3[[#This Row],[Close ML (Away)]]+100))</f>
        <v>1</v>
      </c>
    </row>
    <row r="81" spans="1:13" x14ac:dyDescent="0.25">
      <c r="A81">
        <v>15</v>
      </c>
      <c r="B81" t="s">
        <v>10</v>
      </c>
      <c r="C81" t="s">
        <v>3</v>
      </c>
      <c r="G81" s="2">
        <f>IF(Table3[[#This Row],[Open ML (Home)]]&lt;0,-Table3[[#This Row],[Open ML (Home)]]/(-Table3[[#This Row],[Open ML (Home)]]+100),100/(Table3[[#This Row],[Open ML (Home)]]+100))</f>
        <v>1</v>
      </c>
      <c r="I81" s="5">
        <f>IF(Table3[[#This Row],[Close ML (Home)]]&lt;0,-Table3[[#This Row],[Close ML (Home)]]/(-Table3[[#This Row],[Close ML (Home)]]+100),100/(Table3[[#This Row],[Close ML (Home)]]+100))</f>
        <v>1</v>
      </c>
      <c r="K81" s="5">
        <f>IF(Table3[[#This Row],[Open ML (Away)]]&lt;0,-Table3[[#This Row],[Open ML (Away)]]/(-Table3[[#This Row],[Open ML (Away)]]+100),100/(Table3[[#This Row],[Open ML (Away)]]+100))</f>
        <v>1</v>
      </c>
      <c r="M81" s="5">
        <f>IF(Table3[[#This Row],[Close ML (Away)]]&lt;0,-Table3[[#This Row],[Close ML (Away)]]/(-Table3[[#This Row],[Close ML (Away)]]+100),100/(Table3[[#This Row],[Close ML (Away)]]+100))</f>
        <v>1</v>
      </c>
    </row>
    <row r="82" spans="1:13" x14ac:dyDescent="0.25">
      <c r="A82">
        <v>15</v>
      </c>
      <c r="B82" t="s">
        <v>11</v>
      </c>
      <c r="C82" t="s">
        <v>24</v>
      </c>
      <c r="G82" s="2">
        <f>IF(Table3[[#This Row],[Open ML (Home)]]&lt;0,-Table3[[#This Row],[Open ML (Home)]]/(-Table3[[#This Row],[Open ML (Home)]]+100),100/(Table3[[#This Row],[Open ML (Home)]]+100))</f>
        <v>1</v>
      </c>
      <c r="I82" s="5">
        <f>IF(Table3[[#This Row],[Close ML (Home)]]&lt;0,-Table3[[#This Row],[Close ML (Home)]]/(-Table3[[#This Row],[Close ML (Home)]]+100),100/(Table3[[#This Row],[Close ML (Home)]]+100))</f>
        <v>1</v>
      </c>
      <c r="K82" s="5">
        <f>IF(Table3[[#This Row],[Open ML (Away)]]&lt;0,-Table3[[#This Row],[Open ML (Away)]]/(-Table3[[#This Row],[Open ML (Away)]]+100),100/(Table3[[#This Row],[Open ML (Away)]]+100))</f>
        <v>1</v>
      </c>
      <c r="M82" s="5">
        <f>IF(Table3[[#This Row],[Close ML (Away)]]&lt;0,-Table3[[#This Row],[Close ML (Away)]]/(-Table3[[#This Row],[Close ML (Away)]]+100),100/(Table3[[#This Row],[Close ML (Away)]]+100))</f>
        <v>1</v>
      </c>
    </row>
    <row r="83" spans="1:13" x14ac:dyDescent="0.25">
      <c r="A83">
        <v>15</v>
      </c>
      <c r="B83" t="s">
        <v>26</v>
      </c>
      <c r="C83" t="s">
        <v>19</v>
      </c>
      <c r="G83" s="2">
        <f>IF(Table3[[#This Row],[Open ML (Home)]]&lt;0,-Table3[[#This Row],[Open ML (Home)]]/(-Table3[[#This Row],[Open ML (Home)]]+100),100/(Table3[[#This Row],[Open ML (Home)]]+100))</f>
        <v>1</v>
      </c>
      <c r="I83" s="5">
        <f>IF(Table3[[#This Row],[Close ML (Home)]]&lt;0,-Table3[[#This Row],[Close ML (Home)]]/(-Table3[[#This Row],[Close ML (Home)]]+100),100/(Table3[[#This Row],[Close ML (Home)]]+100))</f>
        <v>1</v>
      </c>
      <c r="K83" s="5">
        <f>IF(Table3[[#This Row],[Open ML (Away)]]&lt;0,-Table3[[#This Row],[Open ML (Away)]]/(-Table3[[#This Row],[Open ML (Away)]]+100),100/(Table3[[#This Row],[Open ML (Away)]]+100))</f>
        <v>1</v>
      </c>
      <c r="M83" s="5">
        <f>IF(Table3[[#This Row],[Close ML (Away)]]&lt;0,-Table3[[#This Row],[Close ML (Away)]]/(-Table3[[#This Row],[Close ML (Away)]]+100),100/(Table3[[#This Row],[Close ML (Away)]]+100))</f>
        <v>1</v>
      </c>
    </row>
    <row r="84" spans="1:13" x14ac:dyDescent="0.25">
      <c r="A84">
        <v>15</v>
      </c>
      <c r="B84" t="s">
        <v>25</v>
      </c>
      <c r="C84" t="s">
        <v>23</v>
      </c>
      <c r="G84" s="2">
        <f>IF(Table3[[#This Row],[Open ML (Home)]]&lt;0,-Table3[[#This Row],[Open ML (Home)]]/(-Table3[[#This Row],[Open ML (Home)]]+100),100/(Table3[[#This Row],[Open ML (Home)]]+100))</f>
        <v>1</v>
      </c>
      <c r="I84" s="5">
        <f>IF(Table3[[#This Row],[Close ML (Home)]]&lt;0,-Table3[[#This Row],[Close ML (Home)]]/(-Table3[[#This Row],[Close ML (Home)]]+100),100/(Table3[[#This Row],[Close ML (Home)]]+100))</f>
        <v>1</v>
      </c>
      <c r="K84" s="5">
        <f>IF(Table3[[#This Row],[Open ML (Away)]]&lt;0,-Table3[[#This Row],[Open ML (Away)]]/(-Table3[[#This Row],[Open ML (Away)]]+100),100/(Table3[[#This Row],[Open ML (Away)]]+100))</f>
        <v>1</v>
      </c>
      <c r="M84" s="5">
        <f>IF(Table3[[#This Row],[Close ML (Away)]]&lt;0,-Table3[[#This Row],[Close ML (Away)]]/(-Table3[[#This Row],[Close ML (Away)]]+100),100/(Table3[[#This Row],[Close ML (Away)]]+100))</f>
        <v>1</v>
      </c>
    </row>
    <row r="85" spans="1:13" x14ac:dyDescent="0.25">
      <c r="A85">
        <v>15</v>
      </c>
      <c r="B85" t="s">
        <v>5</v>
      </c>
      <c r="C85" t="s">
        <v>13</v>
      </c>
      <c r="G85" s="2">
        <f>IF(Table3[[#This Row],[Open ML (Home)]]&lt;0,-Table3[[#This Row],[Open ML (Home)]]/(-Table3[[#This Row],[Open ML (Home)]]+100),100/(Table3[[#This Row],[Open ML (Home)]]+100))</f>
        <v>1</v>
      </c>
      <c r="I85" s="5">
        <f>IF(Table3[[#This Row],[Close ML (Home)]]&lt;0,-Table3[[#This Row],[Close ML (Home)]]/(-Table3[[#This Row],[Close ML (Home)]]+100),100/(Table3[[#This Row],[Close ML (Home)]]+100))</f>
        <v>1</v>
      </c>
      <c r="K85" s="5">
        <f>IF(Table3[[#This Row],[Open ML (Away)]]&lt;0,-Table3[[#This Row],[Open ML (Away)]]/(-Table3[[#This Row],[Open ML (Away)]]+100),100/(Table3[[#This Row],[Open ML (Away)]]+100))</f>
        <v>1</v>
      </c>
      <c r="M85" s="5">
        <f>IF(Table3[[#This Row],[Close ML (Away)]]&lt;0,-Table3[[#This Row],[Close ML (Away)]]/(-Table3[[#This Row],[Close ML (Away)]]+100),100/(Table3[[#This Row],[Close ML (Away)]]+100))</f>
        <v>1</v>
      </c>
    </row>
    <row r="86" spans="1:13" x14ac:dyDescent="0.25">
      <c r="A86">
        <v>15</v>
      </c>
      <c r="B86" t="s">
        <v>9</v>
      </c>
      <c r="C86" t="s">
        <v>4</v>
      </c>
      <c r="G86" s="2">
        <f>IF(Table3[[#This Row],[Open ML (Home)]]&lt;0,-Table3[[#This Row],[Open ML (Home)]]/(-Table3[[#This Row],[Open ML (Home)]]+100),100/(Table3[[#This Row],[Open ML (Home)]]+100))</f>
        <v>1</v>
      </c>
      <c r="I86" s="5">
        <f>IF(Table3[[#This Row],[Close ML (Home)]]&lt;0,-Table3[[#This Row],[Close ML (Home)]]/(-Table3[[#This Row],[Close ML (Home)]]+100),100/(Table3[[#This Row],[Close ML (Home)]]+100))</f>
        <v>1</v>
      </c>
      <c r="K86" s="5">
        <f>IF(Table3[[#This Row],[Open ML (Away)]]&lt;0,-Table3[[#This Row],[Open ML (Away)]]/(-Table3[[#This Row],[Open ML (Away)]]+100),100/(Table3[[#This Row],[Open ML (Away)]]+100))</f>
        <v>1</v>
      </c>
      <c r="M86" s="5">
        <f>IF(Table3[[#This Row],[Close ML (Away)]]&lt;0,-Table3[[#This Row],[Close ML (Away)]]/(-Table3[[#This Row],[Close ML (Away)]]+100),100/(Table3[[#This Row],[Close ML (Away)]]+100))</f>
        <v>1</v>
      </c>
    </row>
    <row r="87" spans="1:13" x14ac:dyDescent="0.25">
      <c r="A87">
        <v>15</v>
      </c>
      <c r="B87" t="s">
        <v>28</v>
      </c>
      <c r="C87" t="s">
        <v>16</v>
      </c>
      <c r="G87" s="2">
        <f>IF(Table3[[#This Row],[Open ML (Home)]]&lt;0,-Table3[[#This Row],[Open ML (Home)]]/(-Table3[[#This Row],[Open ML (Home)]]+100),100/(Table3[[#This Row],[Open ML (Home)]]+100))</f>
        <v>1</v>
      </c>
      <c r="I87" s="5">
        <f>IF(Table3[[#This Row],[Close ML (Home)]]&lt;0,-Table3[[#This Row],[Close ML (Home)]]/(-Table3[[#This Row],[Close ML (Home)]]+100),100/(Table3[[#This Row],[Close ML (Home)]]+100))</f>
        <v>1</v>
      </c>
      <c r="K87" s="5">
        <f>IF(Table3[[#This Row],[Open ML (Away)]]&lt;0,-Table3[[#This Row],[Open ML (Away)]]/(-Table3[[#This Row],[Open ML (Away)]]+100),100/(Table3[[#This Row],[Open ML (Away)]]+100))</f>
        <v>1</v>
      </c>
      <c r="M87" s="5">
        <f>IF(Table3[[#This Row],[Close ML (Away)]]&lt;0,-Table3[[#This Row],[Close ML (Away)]]/(-Table3[[#This Row],[Close ML (Away)]]+100),100/(Table3[[#This Row],[Close ML (Away)]]+100))</f>
        <v>1</v>
      </c>
    </row>
    <row r="88" spans="1:13" x14ac:dyDescent="0.25">
      <c r="A88">
        <v>15</v>
      </c>
      <c r="B88" t="s">
        <v>20</v>
      </c>
      <c r="C88" t="s">
        <v>31</v>
      </c>
      <c r="G88" s="2">
        <f>IF(Table3[[#This Row],[Open ML (Home)]]&lt;0,-Table3[[#This Row],[Open ML (Home)]]/(-Table3[[#This Row],[Open ML (Home)]]+100),100/(Table3[[#This Row],[Open ML (Home)]]+100))</f>
        <v>1</v>
      </c>
      <c r="I88" s="5">
        <f>IF(Table3[[#This Row],[Close ML (Home)]]&lt;0,-Table3[[#This Row],[Close ML (Home)]]/(-Table3[[#This Row],[Close ML (Home)]]+100),100/(Table3[[#This Row],[Close ML (Home)]]+100))</f>
        <v>1</v>
      </c>
      <c r="K88" s="5">
        <f>IF(Table3[[#This Row],[Open ML (Away)]]&lt;0,-Table3[[#This Row],[Open ML (Away)]]/(-Table3[[#This Row],[Open ML (Away)]]+100),100/(Table3[[#This Row],[Open ML (Away)]]+100))</f>
        <v>1</v>
      </c>
      <c r="M88" s="5">
        <f>IF(Table3[[#This Row],[Close ML (Away)]]&lt;0,-Table3[[#This Row],[Close ML (Away)]]/(-Table3[[#This Row],[Close ML (Away)]]+100),100/(Table3[[#This Row],[Close ML (Away)]]+100))</f>
        <v>1</v>
      </c>
    </row>
    <row r="89" spans="1:13" x14ac:dyDescent="0.25">
      <c r="A89">
        <v>15</v>
      </c>
      <c r="B89" t="s">
        <v>1</v>
      </c>
      <c r="C89" t="s">
        <v>27</v>
      </c>
      <c r="G89" s="2">
        <f>IF(Table3[[#This Row],[Open ML (Home)]]&lt;0,-Table3[[#This Row],[Open ML (Home)]]/(-Table3[[#This Row],[Open ML (Home)]]+100),100/(Table3[[#This Row],[Open ML (Home)]]+100))</f>
        <v>1</v>
      </c>
      <c r="I89" s="5">
        <f>IF(Table3[[#This Row],[Close ML (Home)]]&lt;0,-Table3[[#This Row],[Close ML (Home)]]/(-Table3[[#This Row],[Close ML (Home)]]+100),100/(Table3[[#This Row],[Close ML (Home)]]+100))</f>
        <v>1</v>
      </c>
      <c r="K89" s="5">
        <f>IF(Table3[[#This Row],[Open ML (Away)]]&lt;0,-Table3[[#This Row],[Open ML (Away)]]/(-Table3[[#This Row],[Open ML (Away)]]+100),100/(Table3[[#This Row],[Open ML (Away)]]+100))</f>
        <v>1</v>
      </c>
      <c r="M89" s="5">
        <f>IF(Table3[[#This Row],[Close ML (Away)]]&lt;0,-Table3[[#This Row],[Close ML (Away)]]/(-Table3[[#This Row],[Close ML (Away)]]+100),100/(Table3[[#This Row],[Close ML (Away)]]+100))</f>
        <v>1</v>
      </c>
    </row>
    <row r="90" spans="1:13" x14ac:dyDescent="0.25">
      <c r="A90">
        <v>15</v>
      </c>
      <c r="B90" t="s">
        <v>18</v>
      </c>
      <c r="C90" t="s">
        <v>15</v>
      </c>
      <c r="G90" s="2">
        <f>IF(Table3[[#This Row],[Open ML (Home)]]&lt;0,-Table3[[#This Row],[Open ML (Home)]]/(-Table3[[#This Row],[Open ML (Home)]]+100),100/(Table3[[#This Row],[Open ML (Home)]]+100))</f>
        <v>1</v>
      </c>
      <c r="I90" s="5">
        <f>IF(Table3[[#This Row],[Close ML (Home)]]&lt;0,-Table3[[#This Row],[Close ML (Home)]]/(-Table3[[#This Row],[Close ML (Home)]]+100),100/(Table3[[#This Row],[Close ML (Home)]]+100))</f>
        <v>1</v>
      </c>
      <c r="K90" s="5">
        <f>IF(Table3[[#This Row],[Open ML (Away)]]&lt;0,-Table3[[#This Row],[Open ML (Away)]]/(-Table3[[#This Row],[Open ML (Away)]]+100),100/(Table3[[#This Row],[Open ML (Away)]]+100))</f>
        <v>1</v>
      </c>
      <c r="M90" s="5">
        <f>IF(Table3[[#This Row],[Close ML (Away)]]&lt;0,-Table3[[#This Row],[Close ML (Away)]]/(-Table3[[#This Row],[Close ML (Away)]]+100),100/(Table3[[#This Row],[Close ML (Away)]]+100))</f>
        <v>1</v>
      </c>
    </row>
    <row r="91" spans="1:13" x14ac:dyDescent="0.25">
      <c r="A91">
        <v>15</v>
      </c>
      <c r="B91" t="s">
        <v>7</v>
      </c>
      <c r="C91" t="s">
        <v>29</v>
      </c>
      <c r="G91" s="2">
        <f>IF(Table3[[#This Row],[Open ML (Home)]]&lt;0,-Table3[[#This Row],[Open ML (Home)]]/(-Table3[[#This Row],[Open ML (Home)]]+100),100/(Table3[[#This Row],[Open ML (Home)]]+100))</f>
        <v>1</v>
      </c>
      <c r="I91" s="5">
        <f>IF(Table3[[#This Row],[Close ML (Home)]]&lt;0,-Table3[[#This Row],[Close ML (Home)]]/(-Table3[[#This Row],[Close ML (Home)]]+100),100/(Table3[[#This Row],[Close ML (Home)]]+100))</f>
        <v>1</v>
      </c>
      <c r="K91" s="5">
        <f>IF(Table3[[#This Row],[Open ML (Away)]]&lt;0,-Table3[[#This Row],[Open ML (Away)]]/(-Table3[[#This Row],[Open ML (Away)]]+100),100/(Table3[[#This Row],[Open ML (Away)]]+100))</f>
        <v>1</v>
      </c>
      <c r="M91" s="5">
        <f>IF(Table3[[#This Row],[Close ML (Away)]]&lt;0,-Table3[[#This Row],[Close ML (Away)]]/(-Table3[[#This Row],[Close ML (Away)]]+100),100/(Table3[[#This Row],[Close ML (Away)]]+100))</f>
        <v>1</v>
      </c>
    </row>
    <row r="92" spans="1:13" x14ac:dyDescent="0.25">
      <c r="A92">
        <v>15</v>
      </c>
      <c r="B92" t="s">
        <v>30</v>
      </c>
      <c r="C92" t="s">
        <v>2</v>
      </c>
      <c r="G92" s="2">
        <f>IF(Table3[[#This Row],[Open ML (Home)]]&lt;0,-Table3[[#This Row],[Open ML (Home)]]/(-Table3[[#This Row],[Open ML (Home)]]+100),100/(Table3[[#This Row],[Open ML (Home)]]+100))</f>
        <v>1</v>
      </c>
      <c r="I92" s="5">
        <f>IF(Table3[[#This Row],[Close ML (Home)]]&lt;0,-Table3[[#This Row],[Close ML (Home)]]/(-Table3[[#This Row],[Close ML (Home)]]+100),100/(Table3[[#This Row],[Close ML (Home)]]+100))</f>
        <v>1</v>
      </c>
      <c r="K92" s="5">
        <f>IF(Table3[[#This Row],[Open ML (Away)]]&lt;0,-Table3[[#This Row],[Open ML (Away)]]/(-Table3[[#This Row],[Open ML (Away)]]+100),100/(Table3[[#This Row],[Open ML (Away)]]+100))</f>
        <v>1</v>
      </c>
      <c r="M92" s="5">
        <f>IF(Table3[[#This Row],[Close ML (Away)]]&lt;0,-Table3[[#This Row],[Close ML (Away)]]/(-Table3[[#This Row],[Close ML (Away)]]+100),100/(Table3[[#This Row],[Close ML (Away)]]+100))</f>
        <v>1</v>
      </c>
    </row>
    <row r="93" spans="1:13" x14ac:dyDescent="0.25">
      <c r="A93">
        <v>16</v>
      </c>
      <c r="B93" t="s">
        <v>13</v>
      </c>
      <c r="C93" t="s">
        <v>25</v>
      </c>
      <c r="G93" s="2">
        <f>IF(Table3[[#This Row],[Open ML (Home)]]&lt;0,-Table3[[#This Row],[Open ML (Home)]]/(-Table3[[#This Row],[Open ML (Home)]]+100),100/(Table3[[#This Row],[Open ML (Home)]]+100))</f>
        <v>1</v>
      </c>
      <c r="I93" s="5">
        <f>IF(Table3[[#This Row],[Close ML (Home)]]&lt;0,-Table3[[#This Row],[Close ML (Home)]]/(-Table3[[#This Row],[Close ML (Home)]]+100),100/(Table3[[#This Row],[Close ML (Home)]]+100))</f>
        <v>1</v>
      </c>
      <c r="K93" s="5">
        <f>IF(Table3[[#This Row],[Open ML (Away)]]&lt;0,-Table3[[#This Row],[Open ML (Away)]]/(-Table3[[#This Row],[Open ML (Away)]]+100),100/(Table3[[#This Row],[Open ML (Away)]]+100))</f>
        <v>1</v>
      </c>
      <c r="M93" s="5">
        <f>IF(Table3[[#This Row],[Close ML (Away)]]&lt;0,-Table3[[#This Row],[Close ML (Away)]]/(-Table3[[#This Row],[Close ML (Away)]]+100),100/(Table3[[#This Row],[Close ML (Away)]]+100))</f>
        <v>1</v>
      </c>
    </row>
    <row r="94" spans="1:13" x14ac:dyDescent="0.25">
      <c r="A94">
        <v>16</v>
      </c>
      <c r="B94" t="s">
        <v>27</v>
      </c>
      <c r="C94" t="s">
        <v>8</v>
      </c>
      <c r="G94" s="2">
        <f>IF(Table3[[#This Row],[Open ML (Home)]]&lt;0,-Table3[[#This Row],[Open ML (Home)]]/(-Table3[[#This Row],[Open ML (Home)]]+100),100/(Table3[[#This Row],[Open ML (Home)]]+100))</f>
        <v>1</v>
      </c>
      <c r="I94" s="5">
        <f>IF(Table3[[#This Row],[Close ML (Home)]]&lt;0,-Table3[[#This Row],[Close ML (Home)]]/(-Table3[[#This Row],[Close ML (Home)]]+100),100/(Table3[[#This Row],[Close ML (Home)]]+100))</f>
        <v>1</v>
      </c>
      <c r="K94" s="5">
        <f>IF(Table3[[#This Row],[Open ML (Away)]]&lt;0,-Table3[[#This Row],[Open ML (Away)]]/(-Table3[[#This Row],[Open ML (Away)]]+100),100/(Table3[[#This Row],[Open ML (Away)]]+100))</f>
        <v>1</v>
      </c>
      <c r="M94" s="5">
        <f>IF(Table3[[#This Row],[Close ML (Away)]]&lt;0,-Table3[[#This Row],[Close ML (Away)]]/(-Table3[[#This Row],[Close ML (Away)]]+100),100/(Table3[[#This Row],[Close ML (Away)]]+100))</f>
        <v>1</v>
      </c>
    </row>
    <row r="95" spans="1:13" x14ac:dyDescent="0.25">
      <c r="A95">
        <v>16</v>
      </c>
      <c r="B95" t="s">
        <v>2</v>
      </c>
      <c r="C95" t="s">
        <v>20</v>
      </c>
      <c r="G95" s="2">
        <f>IF(Table3[[#This Row],[Open ML (Home)]]&lt;0,-Table3[[#This Row],[Open ML (Home)]]/(-Table3[[#This Row],[Open ML (Home)]]+100),100/(Table3[[#This Row],[Open ML (Home)]]+100))</f>
        <v>1</v>
      </c>
      <c r="I95" s="5">
        <f>IF(Table3[[#This Row],[Close ML (Home)]]&lt;0,-Table3[[#This Row],[Close ML (Home)]]/(-Table3[[#This Row],[Close ML (Home)]]+100),100/(Table3[[#This Row],[Close ML (Home)]]+100))</f>
        <v>1</v>
      </c>
      <c r="K95" s="5">
        <f>IF(Table3[[#This Row],[Open ML (Away)]]&lt;0,-Table3[[#This Row],[Open ML (Away)]]/(-Table3[[#This Row],[Open ML (Away)]]+100),100/(Table3[[#This Row],[Open ML (Away)]]+100))</f>
        <v>1</v>
      </c>
      <c r="M95" s="5">
        <f>IF(Table3[[#This Row],[Close ML (Away)]]&lt;0,-Table3[[#This Row],[Close ML (Away)]]/(-Table3[[#This Row],[Close ML (Away)]]+100),100/(Table3[[#This Row],[Close ML (Away)]]+100))</f>
        <v>1</v>
      </c>
    </row>
    <row r="96" spans="1:13" x14ac:dyDescent="0.25">
      <c r="A96">
        <v>16</v>
      </c>
      <c r="B96" t="s">
        <v>6</v>
      </c>
      <c r="C96" t="s">
        <v>22</v>
      </c>
      <c r="G96" s="2">
        <f>IF(Table3[[#This Row],[Open ML (Home)]]&lt;0,-Table3[[#This Row],[Open ML (Home)]]/(-Table3[[#This Row],[Open ML (Home)]]+100),100/(Table3[[#This Row],[Open ML (Home)]]+100))</f>
        <v>1</v>
      </c>
      <c r="I96" s="5">
        <f>IF(Table3[[#This Row],[Close ML (Home)]]&lt;0,-Table3[[#This Row],[Close ML (Home)]]/(-Table3[[#This Row],[Close ML (Home)]]+100),100/(Table3[[#This Row],[Close ML (Home)]]+100))</f>
        <v>1</v>
      </c>
      <c r="K96" s="5">
        <f>IF(Table3[[#This Row],[Open ML (Away)]]&lt;0,-Table3[[#This Row],[Open ML (Away)]]/(-Table3[[#This Row],[Open ML (Away)]]+100),100/(Table3[[#This Row],[Open ML (Away)]]+100))</f>
        <v>1</v>
      </c>
      <c r="M96" s="5">
        <f>IF(Table3[[#This Row],[Close ML (Away)]]&lt;0,-Table3[[#This Row],[Close ML (Away)]]/(-Table3[[#This Row],[Close ML (Away)]]+100),100/(Table3[[#This Row],[Close ML (Away)]]+100))</f>
        <v>1</v>
      </c>
    </row>
    <row r="97" spans="1:13" x14ac:dyDescent="0.25">
      <c r="A97">
        <v>16</v>
      </c>
      <c r="B97" t="s">
        <v>16</v>
      </c>
      <c r="C97" t="s">
        <v>19</v>
      </c>
      <c r="G97" s="2">
        <f>IF(Table3[[#This Row],[Open ML (Home)]]&lt;0,-Table3[[#This Row],[Open ML (Home)]]/(-Table3[[#This Row],[Open ML (Home)]]+100),100/(Table3[[#This Row],[Open ML (Home)]]+100))</f>
        <v>1</v>
      </c>
      <c r="I97" s="5">
        <f>IF(Table3[[#This Row],[Close ML (Home)]]&lt;0,-Table3[[#This Row],[Close ML (Home)]]/(-Table3[[#This Row],[Close ML (Home)]]+100),100/(Table3[[#This Row],[Close ML (Home)]]+100))</f>
        <v>1</v>
      </c>
      <c r="K97" s="5">
        <f>IF(Table3[[#This Row],[Open ML (Away)]]&lt;0,-Table3[[#This Row],[Open ML (Away)]]/(-Table3[[#This Row],[Open ML (Away)]]+100),100/(Table3[[#This Row],[Open ML (Away)]]+100))</f>
        <v>1</v>
      </c>
      <c r="M97" s="5">
        <f>IF(Table3[[#This Row],[Close ML (Away)]]&lt;0,-Table3[[#This Row],[Close ML (Away)]]/(-Table3[[#This Row],[Close ML (Away)]]+100),100/(Table3[[#This Row],[Close ML (Away)]]+100))</f>
        <v>1</v>
      </c>
    </row>
    <row r="98" spans="1:13" x14ac:dyDescent="0.25">
      <c r="A98">
        <v>16</v>
      </c>
      <c r="B98" t="s">
        <v>10</v>
      </c>
      <c r="C98" t="s">
        <v>30</v>
      </c>
      <c r="G98" s="2">
        <f>IF(Table3[[#This Row],[Open ML (Home)]]&lt;0,-Table3[[#This Row],[Open ML (Home)]]/(-Table3[[#This Row],[Open ML (Home)]]+100),100/(Table3[[#This Row],[Open ML (Home)]]+100))</f>
        <v>1</v>
      </c>
      <c r="I98" s="5">
        <f>IF(Table3[[#This Row],[Close ML (Home)]]&lt;0,-Table3[[#This Row],[Close ML (Home)]]/(-Table3[[#This Row],[Close ML (Home)]]+100),100/(Table3[[#This Row],[Close ML (Home)]]+100))</f>
        <v>1</v>
      </c>
      <c r="K98" s="5">
        <f>IF(Table3[[#This Row],[Open ML (Away)]]&lt;0,-Table3[[#This Row],[Open ML (Away)]]/(-Table3[[#This Row],[Open ML (Away)]]+100),100/(Table3[[#This Row],[Open ML (Away)]]+100))</f>
        <v>1</v>
      </c>
      <c r="M98" s="5">
        <f>IF(Table3[[#This Row],[Close ML (Away)]]&lt;0,-Table3[[#This Row],[Close ML (Away)]]/(-Table3[[#This Row],[Close ML (Away)]]+100),100/(Table3[[#This Row],[Close ML (Away)]]+100))</f>
        <v>1</v>
      </c>
    </row>
    <row r="99" spans="1:13" x14ac:dyDescent="0.25">
      <c r="A99">
        <v>16</v>
      </c>
      <c r="B99" t="s">
        <v>4</v>
      </c>
      <c r="C99" t="s">
        <v>12</v>
      </c>
      <c r="G99" s="2">
        <f>IF(Table3[[#This Row],[Open ML (Home)]]&lt;0,-Table3[[#This Row],[Open ML (Home)]]/(-Table3[[#This Row],[Open ML (Home)]]+100),100/(Table3[[#This Row],[Open ML (Home)]]+100))</f>
        <v>1</v>
      </c>
      <c r="I99" s="5">
        <f>IF(Table3[[#This Row],[Close ML (Home)]]&lt;0,-Table3[[#This Row],[Close ML (Home)]]/(-Table3[[#This Row],[Close ML (Home)]]+100),100/(Table3[[#This Row],[Close ML (Home)]]+100))</f>
        <v>1</v>
      </c>
      <c r="K99" s="5">
        <f>IF(Table3[[#This Row],[Open ML (Away)]]&lt;0,-Table3[[#This Row],[Open ML (Away)]]/(-Table3[[#This Row],[Open ML (Away)]]+100),100/(Table3[[#This Row],[Open ML (Away)]]+100))</f>
        <v>1</v>
      </c>
      <c r="M99" s="5">
        <f>IF(Table3[[#This Row],[Close ML (Away)]]&lt;0,-Table3[[#This Row],[Close ML (Away)]]/(-Table3[[#This Row],[Close ML (Away)]]+100),100/(Table3[[#This Row],[Close ML (Away)]]+100))</f>
        <v>1</v>
      </c>
    </row>
    <row r="100" spans="1:13" x14ac:dyDescent="0.25">
      <c r="A100">
        <v>16</v>
      </c>
      <c r="B100" t="s">
        <v>14</v>
      </c>
      <c r="C100" t="s">
        <v>18</v>
      </c>
      <c r="G100" s="2">
        <f>IF(Table3[[#This Row],[Open ML (Home)]]&lt;0,-Table3[[#This Row],[Open ML (Home)]]/(-Table3[[#This Row],[Open ML (Home)]]+100),100/(Table3[[#This Row],[Open ML (Home)]]+100))</f>
        <v>1</v>
      </c>
      <c r="I100" s="5">
        <f>IF(Table3[[#This Row],[Close ML (Home)]]&lt;0,-Table3[[#This Row],[Close ML (Home)]]/(-Table3[[#This Row],[Close ML (Home)]]+100),100/(Table3[[#This Row],[Close ML (Home)]]+100))</f>
        <v>1</v>
      </c>
      <c r="K100" s="5">
        <f>IF(Table3[[#This Row],[Open ML (Away)]]&lt;0,-Table3[[#This Row],[Open ML (Away)]]/(-Table3[[#This Row],[Open ML (Away)]]+100),100/(Table3[[#This Row],[Open ML (Away)]]+100))</f>
        <v>1</v>
      </c>
      <c r="M100" s="5">
        <f>IF(Table3[[#This Row],[Close ML (Away)]]&lt;0,-Table3[[#This Row],[Close ML (Away)]]/(-Table3[[#This Row],[Close ML (Away)]]+100),100/(Table3[[#This Row],[Close ML (Away)]]+100))</f>
        <v>1</v>
      </c>
    </row>
    <row r="101" spans="1:13" x14ac:dyDescent="0.25">
      <c r="A101">
        <v>16</v>
      </c>
      <c r="B101" t="s">
        <v>3</v>
      </c>
      <c r="C101" t="s">
        <v>11</v>
      </c>
      <c r="G101" s="2">
        <f>IF(Table3[[#This Row],[Open ML (Home)]]&lt;0,-Table3[[#This Row],[Open ML (Home)]]/(-Table3[[#This Row],[Open ML (Home)]]+100),100/(Table3[[#This Row],[Open ML (Home)]]+100))</f>
        <v>1</v>
      </c>
      <c r="I101" s="5">
        <f>IF(Table3[[#This Row],[Close ML (Home)]]&lt;0,-Table3[[#This Row],[Close ML (Home)]]/(-Table3[[#This Row],[Close ML (Home)]]+100),100/(Table3[[#This Row],[Close ML (Home)]]+100))</f>
        <v>1</v>
      </c>
      <c r="K101" s="5">
        <f>IF(Table3[[#This Row],[Open ML (Away)]]&lt;0,-Table3[[#This Row],[Open ML (Away)]]/(-Table3[[#This Row],[Open ML (Away)]]+100),100/(Table3[[#This Row],[Open ML (Away)]]+100))</f>
        <v>1</v>
      </c>
      <c r="M101" s="5">
        <f>IF(Table3[[#This Row],[Close ML (Away)]]&lt;0,-Table3[[#This Row],[Close ML (Away)]]/(-Table3[[#This Row],[Close ML (Away)]]+100),100/(Table3[[#This Row],[Close ML (Away)]]+100))</f>
        <v>1</v>
      </c>
    </row>
    <row r="102" spans="1:13" x14ac:dyDescent="0.25">
      <c r="A102">
        <v>16</v>
      </c>
      <c r="B102" t="s">
        <v>15</v>
      </c>
      <c r="C102" t="s">
        <v>24</v>
      </c>
      <c r="G102" s="2">
        <f>IF(Table3[[#This Row],[Open ML (Home)]]&lt;0,-Table3[[#This Row],[Open ML (Home)]]/(-Table3[[#This Row],[Open ML (Home)]]+100),100/(Table3[[#This Row],[Open ML (Home)]]+100))</f>
        <v>1</v>
      </c>
      <c r="I102" s="5">
        <f>IF(Table3[[#This Row],[Close ML (Home)]]&lt;0,-Table3[[#This Row],[Close ML (Home)]]/(-Table3[[#This Row],[Close ML (Home)]]+100),100/(Table3[[#This Row],[Close ML (Home)]]+100))</f>
        <v>1</v>
      </c>
      <c r="K102" s="5">
        <f>IF(Table3[[#This Row],[Open ML (Away)]]&lt;0,-Table3[[#This Row],[Open ML (Away)]]/(-Table3[[#This Row],[Open ML (Away)]]+100),100/(Table3[[#This Row],[Open ML (Away)]]+100))</f>
        <v>1</v>
      </c>
      <c r="M102" s="5">
        <f>IF(Table3[[#This Row],[Close ML (Away)]]&lt;0,-Table3[[#This Row],[Close ML (Away)]]/(-Table3[[#This Row],[Close ML (Away)]]+100),100/(Table3[[#This Row],[Close ML (Away)]]+100))</f>
        <v>1</v>
      </c>
    </row>
    <row r="103" spans="1:13" x14ac:dyDescent="0.25">
      <c r="A103">
        <v>16</v>
      </c>
      <c r="B103" t="s">
        <v>32</v>
      </c>
      <c r="C103" t="s">
        <v>31</v>
      </c>
      <c r="G103" s="2">
        <f>IF(Table3[[#This Row],[Open ML (Home)]]&lt;0,-Table3[[#This Row],[Open ML (Home)]]/(-Table3[[#This Row],[Open ML (Home)]]+100),100/(Table3[[#This Row],[Open ML (Home)]]+100))</f>
        <v>1</v>
      </c>
      <c r="I103" s="5">
        <f>IF(Table3[[#This Row],[Close ML (Home)]]&lt;0,-Table3[[#This Row],[Close ML (Home)]]/(-Table3[[#This Row],[Close ML (Home)]]+100),100/(Table3[[#This Row],[Close ML (Home)]]+100))</f>
        <v>1</v>
      </c>
      <c r="K103" s="5">
        <f>IF(Table3[[#This Row],[Open ML (Away)]]&lt;0,-Table3[[#This Row],[Open ML (Away)]]/(-Table3[[#This Row],[Open ML (Away)]]+100),100/(Table3[[#This Row],[Open ML (Away)]]+100))</f>
        <v>1</v>
      </c>
      <c r="M103" s="5">
        <f>IF(Table3[[#This Row],[Close ML (Away)]]&lt;0,-Table3[[#This Row],[Close ML (Away)]]/(-Table3[[#This Row],[Close ML (Away)]]+100),100/(Table3[[#This Row],[Close ML (Away)]]+100))</f>
        <v>1</v>
      </c>
    </row>
    <row r="104" spans="1:13" x14ac:dyDescent="0.25">
      <c r="A104">
        <v>16</v>
      </c>
      <c r="B104" t="s">
        <v>21</v>
      </c>
      <c r="C104" t="s">
        <v>28</v>
      </c>
      <c r="G104" s="2">
        <f>IF(Table3[[#This Row],[Open ML (Home)]]&lt;0,-Table3[[#This Row],[Open ML (Home)]]/(-Table3[[#This Row],[Open ML (Home)]]+100),100/(Table3[[#This Row],[Open ML (Home)]]+100))</f>
        <v>1</v>
      </c>
      <c r="I104" s="5">
        <f>IF(Table3[[#This Row],[Close ML (Home)]]&lt;0,-Table3[[#This Row],[Close ML (Home)]]/(-Table3[[#This Row],[Close ML (Home)]]+100),100/(Table3[[#This Row],[Close ML (Home)]]+100))</f>
        <v>1</v>
      </c>
      <c r="K104" s="5">
        <f>IF(Table3[[#This Row],[Open ML (Away)]]&lt;0,-Table3[[#This Row],[Open ML (Away)]]/(-Table3[[#This Row],[Open ML (Away)]]+100),100/(Table3[[#This Row],[Open ML (Away)]]+100))</f>
        <v>1</v>
      </c>
      <c r="M104" s="5">
        <f>IF(Table3[[#This Row],[Close ML (Away)]]&lt;0,-Table3[[#This Row],[Close ML (Away)]]/(-Table3[[#This Row],[Close ML (Away)]]+100),100/(Table3[[#This Row],[Close ML (Away)]]+100))</f>
        <v>1</v>
      </c>
    </row>
    <row r="105" spans="1:13" x14ac:dyDescent="0.25">
      <c r="A105">
        <v>16</v>
      </c>
      <c r="B105" t="s">
        <v>9</v>
      </c>
      <c r="C105" t="s">
        <v>7</v>
      </c>
      <c r="G105" s="2">
        <f>IF(Table3[[#This Row],[Open ML (Home)]]&lt;0,-Table3[[#This Row],[Open ML (Home)]]/(-Table3[[#This Row],[Open ML (Home)]]+100),100/(Table3[[#This Row],[Open ML (Home)]]+100))</f>
        <v>1</v>
      </c>
      <c r="I105" s="5">
        <f>IF(Table3[[#This Row],[Close ML (Home)]]&lt;0,-Table3[[#This Row],[Close ML (Home)]]/(-Table3[[#This Row],[Close ML (Home)]]+100),100/(Table3[[#This Row],[Close ML (Home)]]+100))</f>
        <v>1</v>
      </c>
      <c r="K105" s="5">
        <f>IF(Table3[[#This Row],[Open ML (Away)]]&lt;0,-Table3[[#This Row],[Open ML (Away)]]/(-Table3[[#This Row],[Open ML (Away)]]+100),100/(Table3[[#This Row],[Open ML (Away)]]+100))</f>
        <v>1</v>
      </c>
      <c r="M105" s="5">
        <f>IF(Table3[[#This Row],[Close ML (Away)]]&lt;0,-Table3[[#This Row],[Close ML (Away)]]/(-Table3[[#This Row],[Close ML (Away)]]+100),100/(Table3[[#This Row],[Close ML (Away)]]+100))</f>
        <v>1</v>
      </c>
    </row>
    <row r="106" spans="1:13" x14ac:dyDescent="0.25">
      <c r="A106">
        <v>16</v>
      </c>
      <c r="B106" t="s">
        <v>29</v>
      </c>
      <c r="C106" t="s">
        <v>5</v>
      </c>
      <c r="G106" s="2">
        <f>IF(Table3[[#This Row],[Open ML (Home)]]&lt;0,-Table3[[#This Row],[Open ML (Home)]]/(-Table3[[#This Row],[Open ML (Home)]]+100),100/(Table3[[#This Row],[Open ML (Home)]]+100))</f>
        <v>1</v>
      </c>
      <c r="I106" s="5">
        <f>IF(Table3[[#This Row],[Close ML (Home)]]&lt;0,-Table3[[#This Row],[Close ML (Home)]]/(-Table3[[#This Row],[Close ML (Home)]]+100),100/(Table3[[#This Row],[Close ML (Home)]]+100))</f>
        <v>1</v>
      </c>
      <c r="K106" s="5">
        <f>IF(Table3[[#This Row],[Open ML (Away)]]&lt;0,-Table3[[#This Row],[Open ML (Away)]]/(-Table3[[#This Row],[Open ML (Away)]]+100),100/(Table3[[#This Row],[Open ML (Away)]]+100))</f>
        <v>1</v>
      </c>
      <c r="M106" s="5">
        <f>IF(Table3[[#This Row],[Close ML (Away)]]&lt;0,-Table3[[#This Row],[Close ML (Away)]]/(-Table3[[#This Row],[Close ML (Away)]]+100),100/(Table3[[#This Row],[Close ML (Away)]]+100))</f>
        <v>1</v>
      </c>
    </row>
    <row r="107" spans="1:13" x14ac:dyDescent="0.25">
      <c r="A107">
        <v>16</v>
      </c>
      <c r="B107" t="s">
        <v>17</v>
      </c>
      <c r="C107" t="s">
        <v>1</v>
      </c>
      <c r="G107" s="2">
        <f>IF(Table3[[#This Row],[Open ML (Home)]]&lt;0,-Table3[[#This Row],[Open ML (Home)]]/(-Table3[[#This Row],[Open ML (Home)]]+100),100/(Table3[[#This Row],[Open ML (Home)]]+100))</f>
        <v>1</v>
      </c>
      <c r="I107" s="5">
        <f>IF(Table3[[#This Row],[Close ML (Home)]]&lt;0,-Table3[[#This Row],[Close ML (Home)]]/(-Table3[[#This Row],[Close ML (Home)]]+100),100/(Table3[[#This Row],[Close ML (Home)]]+100))</f>
        <v>1</v>
      </c>
      <c r="K107" s="5">
        <f>IF(Table3[[#This Row],[Open ML (Away)]]&lt;0,-Table3[[#This Row],[Open ML (Away)]]/(-Table3[[#This Row],[Open ML (Away)]]+100),100/(Table3[[#This Row],[Open ML (Away)]]+100))</f>
        <v>1</v>
      </c>
      <c r="M107" s="5">
        <f>IF(Table3[[#This Row],[Close ML (Away)]]&lt;0,-Table3[[#This Row],[Close ML (Away)]]/(-Table3[[#This Row],[Close ML (Away)]]+100),100/(Table3[[#This Row],[Close ML (Away)]]+100))</f>
        <v>1</v>
      </c>
    </row>
    <row r="108" spans="1:13" x14ac:dyDescent="0.25">
      <c r="A108">
        <v>16</v>
      </c>
      <c r="B108" t="s">
        <v>26</v>
      </c>
      <c r="C108" t="s">
        <v>23</v>
      </c>
      <c r="G108" s="2">
        <f>IF(Table3[[#This Row],[Open ML (Home)]]&lt;0,-Table3[[#This Row],[Open ML (Home)]]/(-Table3[[#This Row],[Open ML (Home)]]+100),100/(Table3[[#This Row],[Open ML (Home)]]+100))</f>
        <v>1</v>
      </c>
      <c r="I108" s="5">
        <f>IF(Table3[[#This Row],[Close ML (Home)]]&lt;0,-Table3[[#This Row],[Close ML (Home)]]/(-Table3[[#This Row],[Close ML (Home)]]+100),100/(Table3[[#This Row],[Close ML (Home)]]+100))</f>
        <v>1</v>
      </c>
      <c r="K108" s="5">
        <f>IF(Table3[[#This Row],[Open ML (Away)]]&lt;0,-Table3[[#This Row],[Open ML (Away)]]/(-Table3[[#This Row],[Open ML (Away)]]+100),100/(Table3[[#This Row],[Open ML (Away)]]+100))</f>
        <v>1</v>
      </c>
      <c r="M108" s="5">
        <f>IF(Table3[[#This Row],[Close ML (Away)]]&lt;0,-Table3[[#This Row],[Close ML (Away)]]/(-Table3[[#This Row],[Close ML (Away)]]+100),100/(Table3[[#This Row],[Close ML (Away)]]+100))</f>
        <v>1</v>
      </c>
    </row>
    <row r="109" spans="1:13" x14ac:dyDescent="0.25">
      <c r="A109">
        <v>17</v>
      </c>
      <c r="B109" t="s">
        <v>8</v>
      </c>
      <c r="C109" t="s">
        <v>6</v>
      </c>
      <c r="G109" s="2">
        <f>IF(Table3[[#This Row],[Open ML (Home)]]&lt;0,-Table3[[#This Row],[Open ML (Home)]]/(-Table3[[#This Row],[Open ML (Home)]]+100),100/(Table3[[#This Row],[Open ML (Home)]]+100))</f>
        <v>1</v>
      </c>
      <c r="I109" s="5">
        <f>IF(Table3[[#This Row],[Close ML (Home)]]&lt;0,-Table3[[#This Row],[Close ML (Home)]]/(-Table3[[#This Row],[Close ML (Home)]]+100),100/(Table3[[#This Row],[Close ML (Home)]]+100))</f>
        <v>1</v>
      </c>
      <c r="K109" s="5">
        <f>IF(Table3[[#This Row],[Open ML (Away)]]&lt;0,-Table3[[#This Row],[Open ML (Away)]]/(-Table3[[#This Row],[Open ML (Away)]]+100),100/(Table3[[#This Row],[Open ML (Away)]]+100))</f>
        <v>1</v>
      </c>
      <c r="M109" s="5">
        <f>IF(Table3[[#This Row],[Close ML (Away)]]&lt;0,-Table3[[#This Row],[Close ML (Away)]]/(-Table3[[#This Row],[Close ML (Away)]]+100),100/(Table3[[#This Row],[Close ML (Away)]]+100))</f>
        <v>1</v>
      </c>
    </row>
    <row r="110" spans="1:13" x14ac:dyDescent="0.25">
      <c r="A110">
        <v>17</v>
      </c>
      <c r="B110" t="s">
        <v>7</v>
      </c>
      <c r="C110" t="s">
        <v>5</v>
      </c>
      <c r="G110" s="2">
        <f>IF(Table3[[#This Row],[Open ML (Home)]]&lt;0,-Table3[[#This Row],[Open ML (Home)]]/(-Table3[[#This Row],[Open ML (Home)]]+100),100/(Table3[[#This Row],[Open ML (Home)]]+100))</f>
        <v>1</v>
      </c>
      <c r="I110" s="5">
        <f>IF(Table3[[#This Row],[Close ML (Home)]]&lt;0,-Table3[[#This Row],[Close ML (Home)]]/(-Table3[[#This Row],[Close ML (Home)]]+100),100/(Table3[[#This Row],[Close ML (Home)]]+100))</f>
        <v>1</v>
      </c>
      <c r="K110" s="5">
        <f>IF(Table3[[#This Row],[Open ML (Away)]]&lt;0,-Table3[[#This Row],[Open ML (Away)]]/(-Table3[[#This Row],[Open ML (Away)]]+100),100/(Table3[[#This Row],[Open ML (Away)]]+100))</f>
        <v>1</v>
      </c>
      <c r="M110" s="5">
        <f>IF(Table3[[#This Row],[Close ML (Away)]]&lt;0,-Table3[[#This Row],[Close ML (Away)]]/(-Table3[[#This Row],[Close ML (Away)]]+100),100/(Table3[[#This Row],[Close ML (Away)]]+100))</f>
        <v>1</v>
      </c>
    </row>
    <row r="111" spans="1:13" x14ac:dyDescent="0.25">
      <c r="A111">
        <v>17</v>
      </c>
      <c r="B111" t="s">
        <v>24</v>
      </c>
      <c r="C111" t="s">
        <v>4</v>
      </c>
      <c r="G111" s="2">
        <f>IF(Table3[[#This Row],[Open ML (Home)]]&lt;0,-Table3[[#This Row],[Open ML (Home)]]/(-Table3[[#This Row],[Open ML (Home)]]+100),100/(Table3[[#This Row],[Open ML (Home)]]+100))</f>
        <v>1</v>
      </c>
      <c r="I111" s="5">
        <f>IF(Table3[[#This Row],[Close ML (Home)]]&lt;0,-Table3[[#This Row],[Close ML (Home)]]/(-Table3[[#This Row],[Close ML (Home)]]+100),100/(Table3[[#This Row],[Close ML (Home)]]+100))</f>
        <v>1</v>
      </c>
      <c r="K111" s="5">
        <f>IF(Table3[[#This Row],[Open ML (Away)]]&lt;0,-Table3[[#This Row],[Open ML (Away)]]/(-Table3[[#This Row],[Open ML (Away)]]+100),100/(Table3[[#This Row],[Open ML (Away)]]+100))</f>
        <v>1</v>
      </c>
      <c r="M111" s="5">
        <f>IF(Table3[[#This Row],[Close ML (Away)]]&lt;0,-Table3[[#This Row],[Close ML (Away)]]/(-Table3[[#This Row],[Close ML (Away)]]+100),100/(Table3[[#This Row],[Close ML (Away)]]+100))</f>
        <v>1</v>
      </c>
    </row>
    <row r="112" spans="1:13" x14ac:dyDescent="0.25">
      <c r="A112">
        <v>17</v>
      </c>
      <c r="B112" t="s">
        <v>12</v>
      </c>
      <c r="C112" t="s">
        <v>9</v>
      </c>
      <c r="G112" s="2">
        <f>IF(Table3[[#This Row],[Open ML (Home)]]&lt;0,-Table3[[#This Row],[Open ML (Home)]]/(-Table3[[#This Row],[Open ML (Home)]]+100),100/(Table3[[#This Row],[Open ML (Home)]]+100))</f>
        <v>1</v>
      </c>
      <c r="I112" s="5">
        <f>IF(Table3[[#This Row],[Close ML (Home)]]&lt;0,-Table3[[#This Row],[Close ML (Home)]]/(-Table3[[#This Row],[Close ML (Home)]]+100),100/(Table3[[#This Row],[Close ML (Home)]]+100))</f>
        <v>1</v>
      </c>
      <c r="K112" s="5">
        <f>IF(Table3[[#This Row],[Open ML (Away)]]&lt;0,-Table3[[#This Row],[Open ML (Away)]]/(-Table3[[#This Row],[Open ML (Away)]]+100),100/(Table3[[#This Row],[Open ML (Away)]]+100))</f>
        <v>1</v>
      </c>
      <c r="M112" s="5">
        <f>IF(Table3[[#This Row],[Close ML (Away)]]&lt;0,-Table3[[#This Row],[Close ML (Away)]]/(-Table3[[#This Row],[Close ML (Away)]]+100),100/(Table3[[#This Row],[Close ML (Away)]]+100))</f>
        <v>1</v>
      </c>
    </row>
    <row r="113" spans="1:13" x14ac:dyDescent="0.25">
      <c r="A113">
        <v>17</v>
      </c>
      <c r="B113" t="s">
        <v>30</v>
      </c>
      <c r="C113" t="s">
        <v>25</v>
      </c>
      <c r="G113" s="2">
        <f>IF(Table3[[#This Row],[Open ML (Home)]]&lt;0,-Table3[[#This Row],[Open ML (Home)]]/(-Table3[[#This Row],[Open ML (Home)]]+100),100/(Table3[[#This Row],[Open ML (Home)]]+100))</f>
        <v>1</v>
      </c>
      <c r="I113" s="5">
        <f>IF(Table3[[#This Row],[Close ML (Home)]]&lt;0,-Table3[[#This Row],[Close ML (Home)]]/(-Table3[[#This Row],[Close ML (Home)]]+100),100/(Table3[[#This Row],[Close ML (Home)]]+100))</f>
        <v>1</v>
      </c>
      <c r="K113" s="5">
        <f>IF(Table3[[#This Row],[Open ML (Away)]]&lt;0,-Table3[[#This Row],[Open ML (Away)]]/(-Table3[[#This Row],[Open ML (Away)]]+100),100/(Table3[[#This Row],[Open ML (Away)]]+100))</f>
        <v>1</v>
      </c>
      <c r="M113" s="5">
        <f>IF(Table3[[#This Row],[Close ML (Away)]]&lt;0,-Table3[[#This Row],[Close ML (Away)]]/(-Table3[[#This Row],[Close ML (Away)]]+100),100/(Table3[[#This Row],[Close ML (Away)]]+100))</f>
        <v>1</v>
      </c>
    </row>
    <row r="114" spans="1:13" x14ac:dyDescent="0.25">
      <c r="A114">
        <v>17</v>
      </c>
      <c r="B114" t="s">
        <v>22</v>
      </c>
      <c r="C114" t="s">
        <v>27</v>
      </c>
      <c r="G114" s="2">
        <f>IF(Table3[[#This Row],[Open ML (Home)]]&lt;0,-Table3[[#This Row],[Open ML (Home)]]/(-Table3[[#This Row],[Open ML (Home)]]+100),100/(Table3[[#This Row],[Open ML (Home)]]+100))</f>
        <v>1</v>
      </c>
      <c r="I114" s="5">
        <f>IF(Table3[[#This Row],[Close ML (Home)]]&lt;0,-Table3[[#This Row],[Close ML (Home)]]/(-Table3[[#This Row],[Close ML (Home)]]+100),100/(Table3[[#This Row],[Close ML (Home)]]+100))</f>
        <v>1</v>
      </c>
      <c r="K114" s="5">
        <f>IF(Table3[[#This Row],[Open ML (Away)]]&lt;0,-Table3[[#This Row],[Open ML (Away)]]/(-Table3[[#This Row],[Open ML (Away)]]+100),100/(Table3[[#This Row],[Open ML (Away)]]+100))</f>
        <v>1</v>
      </c>
      <c r="M114" s="5">
        <f>IF(Table3[[#This Row],[Close ML (Away)]]&lt;0,-Table3[[#This Row],[Close ML (Away)]]/(-Table3[[#This Row],[Close ML (Away)]]+100),100/(Table3[[#This Row],[Close ML (Away)]]+100))</f>
        <v>1</v>
      </c>
    </row>
    <row r="115" spans="1:13" x14ac:dyDescent="0.25">
      <c r="A115">
        <v>17</v>
      </c>
      <c r="B115" t="s">
        <v>13</v>
      </c>
      <c r="C115" t="s">
        <v>26</v>
      </c>
      <c r="G115" s="2">
        <f>IF(Table3[[#This Row],[Open ML (Home)]]&lt;0,-Table3[[#This Row],[Open ML (Home)]]/(-Table3[[#This Row],[Open ML (Home)]]+100),100/(Table3[[#This Row],[Open ML (Home)]]+100))</f>
        <v>1</v>
      </c>
      <c r="I115" s="5">
        <f>IF(Table3[[#This Row],[Close ML (Home)]]&lt;0,-Table3[[#This Row],[Close ML (Home)]]/(-Table3[[#This Row],[Close ML (Home)]]+100),100/(Table3[[#This Row],[Close ML (Home)]]+100))</f>
        <v>1</v>
      </c>
      <c r="K115" s="5">
        <f>IF(Table3[[#This Row],[Open ML (Away)]]&lt;0,-Table3[[#This Row],[Open ML (Away)]]/(-Table3[[#This Row],[Open ML (Away)]]+100),100/(Table3[[#This Row],[Open ML (Away)]]+100))</f>
        <v>1</v>
      </c>
      <c r="M115" s="5">
        <f>IF(Table3[[#This Row],[Close ML (Away)]]&lt;0,-Table3[[#This Row],[Close ML (Away)]]/(-Table3[[#This Row],[Close ML (Away)]]+100),100/(Table3[[#This Row],[Close ML (Away)]]+100))</f>
        <v>1</v>
      </c>
    </row>
    <row r="116" spans="1:13" x14ac:dyDescent="0.25">
      <c r="A116">
        <v>17</v>
      </c>
      <c r="B116" t="s">
        <v>20</v>
      </c>
      <c r="C116" t="s">
        <v>16</v>
      </c>
      <c r="G116" s="2">
        <f>IF(Table3[[#This Row],[Open ML (Home)]]&lt;0,-Table3[[#This Row],[Open ML (Home)]]/(-Table3[[#This Row],[Open ML (Home)]]+100),100/(Table3[[#This Row],[Open ML (Home)]]+100))</f>
        <v>1</v>
      </c>
      <c r="I116" s="5">
        <f>IF(Table3[[#This Row],[Close ML (Home)]]&lt;0,-Table3[[#This Row],[Close ML (Home)]]/(-Table3[[#This Row],[Close ML (Home)]]+100),100/(Table3[[#This Row],[Close ML (Home)]]+100))</f>
        <v>1</v>
      </c>
      <c r="K116" s="5">
        <f>IF(Table3[[#This Row],[Open ML (Away)]]&lt;0,-Table3[[#This Row],[Open ML (Away)]]/(-Table3[[#This Row],[Open ML (Away)]]+100),100/(Table3[[#This Row],[Open ML (Away)]]+100))</f>
        <v>1</v>
      </c>
      <c r="M116" s="5">
        <f>IF(Table3[[#This Row],[Close ML (Away)]]&lt;0,-Table3[[#This Row],[Close ML (Away)]]/(-Table3[[#This Row],[Close ML (Away)]]+100),100/(Table3[[#This Row],[Close ML (Away)]]+100))</f>
        <v>1</v>
      </c>
    </row>
    <row r="117" spans="1:13" x14ac:dyDescent="0.25">
      <c r="A117">
        <v>17</v>
      </c>
      <c r="B117" t="s">
        <v>11</v>
      </c>
      <c r="C117" t="s">
        <v>10</v>
      </c>
      <c r="G117" s="2">
        <f>IF(Table3[[#This Row],[Open ML (Home)]]&lt;0,-Table3[[#This Row],[Open ML (Home)]]/(-Table3[[#This Row],[Open ML (Home)]]+100),100/(Table3[[#This Row],[Open ML (Home)]]+100))</f>
        <v>1</v>
      </c>
      <c r="I117" s="5">
        <f>IF(Table3[[#This Row],[Close ML (Home)]]&lt;0,-Table3[[#This Row],[Close ML (Home)]]/(-Table3[[#This Row],[Close ML (Home)]]+100),100/(Table3[[#This Row],[Close ML (Home)]]+100))</f>
        <v>1</v>
      </c>
      <c r="K117" s="5">
        <f>IF(Table3[[#This Row],[Open ML (Away)]]&lt;0,-Table3[[#This Row],[Open ML (Away)]]/(-Table3[[#This Row],[Open ML (Away)]]+100),100/(Table3[[#This Row],[Open ML (Away)]]+100))</f>
        <v>1</v>
      </c>
      <c r="M117" s="5">
        <f>IF(Table3[[#This Row],[Close ML (Away)]]&lt;0,-Table3[[#This Row],[Close ML (Away)]]/(-Table3[[#This Row],[Close ML (Away)]]+100),100/(Table3[[#This Row],[Close ML (Away)]]+100))</f>
        <v>1</v>
      </c>
    </row>
    <row r="118" spans="1:13" x14ac:dyDescent="0.25">
      <c r="A118">
        <v>17</v>
      </c>
      <c r="B118" t="s">
        <v>29</v>
      </c>
      <c r="C118" t="s">
        <v>14</v>
      </c>
      <c r="G118" s="2">
        <f>IF(Table3[[#This Row],[Open ML (Home)]]&lt;0,-Table3[[#This Row],[Open ML (Home)]]/(-Table3[[#This Row],[Open ML (Home)]]+100),100/(Table3[[#This Row],[Open ML (Home)]]+100))</f>
        <v>1</v>
      </c>
      <c r="I118" s="5">
        <f>IF(Table3[[#This Row],[Close ML (Home)]]&lt;0,-Table3[[#This Row],[Close ML (Home)]]/(-Table3[[#This Row],[Close ML (Home)]]+100),100/(Table3[[#This Row],[Close ML (Home)]]+100))</f>
        <v>1</v>
      </c>
      <c r="K118" s="5">
        <f>IF(Table3[[#This Row],[Open ML (Away)]]&lt;0,-Table3[[#This Row],[Open ML (Away)]]/(-Table3[[#This Row],[Open ML (Away)]]+100),100/(Table3[[#This Row],[Open ML (Away)]]+100))</f>
        <v>1</v>
      </c>
      <c r="M118" s="5">
        <f>IF(Table3[[#This Row],[Close ML (Away)]]&lt;0,-Table3[[#This Row],[Close ML (Away)]]/(-Table3[[#This Row],[Close ML (Away)]]+100),100/(Table3[[#This Row],[Close ML (Away)]]+100))</f>
        <v>1</v>
      </c>
    </row>
    <row r="119" spans="1:13" x14ac:dyDescent="0.25">
      <c r="A119">
        <v>17</v>
      </c>
      <c r="B119" t="s">
        <v>23</v>
      </c>
      <c r="C119" t="s">
        <v>3</v>
      </c>
      <c r="G119" s="2">
        <f>IF(Table3[[#This Row],[Open ML (Home)]]&lt;0,-Table3[[#This Row],[Open ML (Home)]]/(-Table3[[#This Row],[Open ML (Home)]]+100),100/(Table3[[#This Row],[Open ML (Home)]]+100))</f>
        <v>1</v>
      </c>
      <c r="I119" s="5">
        <f>IF(Table3[[#This Row],[Close ML (Home)]]&lt;0,-Table3[[#This Row],[Close ML (Home)]]/(-Table3[[#This Row],[Close ML (Home)]]+100),100/(Table3[[#This Row],[Close ML (Home)]]+100))</f>
        <v>1</v>
      </c>
      <c r="K119" s="5">
        <f>IF(Table3[[#This Row],[Open ML (Away)]]&lt;0,-Table3[[#This Row],[Open ML (Away)]]/(-Table3[[#This Row],[Open ML (Away)]]+100),100/(Table3[[#This Row],[Open ML (Away)]]+100))</f>
        <v>1</v>
      </c>
      <c r="M119" s="5">
        <f>IF(Table3[[#This Row],[Close ML (Away)]]&lt;0,-Table3[[#This Row],[Close ML (Away)]]/(-Table3[[#This Row],[Close ML (Away)]]+100),100/(Table3[[#This Row],[Close ML (Away)]]+100))</f>
        <v>1</v>
      </c>
    </row>
    <row r="120" spans="1:13" x14ac:dyDescent="0.25">
      <c r="A120">
        <v>17</v>
      </c>
      <c r="B120" t="s">
        <v>19</v>
      </c>
      <c r="C120" t="s">
        <v>2</v>
      </c>
      <c r="G120" s="2">
        <f>IF(Table3[[#This Row],[Open ML (Home)]]&lt;0,-Table3[[#This Row],[Open ML (Home)]]/(-Table3[[#This Row],[Open ML (Home)]]+100),100/(Table3[[#This Row],[Open ML (Home)]]+100))</f>
        <v>1</v>
      </c>
      <c r="I120" s="5">
        <f>IF(Table3[[#This Row],[Close ML (Home)]]&lt;0,-Table3[[#This Row],[Close ML (Home)]]/(-Table3[[#This Row],[Close ML (Home)]]+100),100/(Table3[[#This Row],[Close ML (Home)]]+100))</f>
        <v>1</v>
      </c>
      <c r="K120" s="5">
        <f>IF(Table3[[#This Row],[Open ML (Away)]]&lt;0,-Table3[[#This Row],[Open ML (Away)]]/(-Table3[[#This Row],[Open ML (Away)]]+100),100/(Table3[[#This Row],[Open ML (Away)]]+100))</f>
        <v>1</v>
      </c>
      <c r="M120" s="5">
        <f>IF(Table3[[#This Row],[Close ML (Away)]]&lt;0,-Table3[[#This Row],[Close ML (Away)]]/(-Table3[[#This Row],[Close ML (Away)]]+100),100/(Table3[[#This Row],[Close ML (Away)]]+100))</f>
        <v>1</v>
      </c>
    </row>
    <row r="121" spans="1:13" x14ac:dyDescent="0.25">
      <c r="A121">
        <v>17</v>
      </c>
      <c r="B121" t="s">
        <v>18</v>
      </c>
      <c r="C121" t="s">
        <v>17</v>
      </c>
      <c r="G121" s="2">
        <f>IF(Table3[[#This Row],[Open ML (Home)]]&lt;0,-Table3[[#This Row],[Open ML (Home)]]/(-Table3[[#This Row],[Open ML (Home)]]+100),100/(Table3[[#This Row],[Open ML (Home)]]+100))</f>
        <v>1</v>
      </c>
      <c r="I121" s="5">
        <f>IF(Table3[[#This Row],[Close ML (Home)]]&lt;0,-Table3[[#This Row],[Close ML (Home)]]/(-Table3[[#This Row],[Close ML (Home)]]+100),100/(Table3[[#This Row],[Close ML (Home)]]+100))</f>
        <v>1</v>
      </c>
      <c r="K121" s="5">
        <f>IF(Table3[[#This Row],[Open ML (Away)]]&lt;0,-Table3[[#This Row],[Open ML (Away)]]/(-Table3[[#This Row],[Open ML (Away)]]+100),100/(Table3[[#This Row],[Open ML (Away)]]+100))</f>
        <v>1</v>
      </c>
      <c r="M121" s="5">
        <f>IF(Table3[[#This Row],[Close ML (Away)]]&lt;0,-Table3[[#This Row],[Close ML (Away)]]/(-Table3[[#This Row],[Close ML (Away)]]+100),100/(Table3[[#This Row],[Close ML (Away)]]+100))</f>
        <v>1</v>
      </c>
    </row>
    <row r="122" spans="1:13" x14ac:dyDescent="0.25">
      <c r="A122">
        <v>17</v>
      </c>
      <c r="B122" t="s">
        <v>32</v>
      </c>
      <c r="C122" t="s">
        <v>28</v>
      </c>
      <c r="G122" s="2">
        <f>IF(Table3[[#This Row],[Open ML (Home)]]&lt;0,-Table3[[#This Row],[Open ML (Home)]]/(-Table3[[#This Row],[Open ML (Home)]]+100),100/(Table3[[#This Row],[Open ML (Home)]]+100))</f>
        <v>1</v>
      </c>
      <c r="I122" s="5">
        <f>IF(Table3[[#This Row],[Close ML (Home)]]&lt;0,-Table3[[#This Row],[Close ML (Home)]]/(-Table3[[#This Row],[Close ML (Home)]]+100),100/(Table3[[#This Row],[Close ML (Home)]]+100))</f>
        <v>1</v>
      </c>
      <c r="K122" s="5">
        <f>IF(Table3[[#This Row],[Open ML (Away)]]&lt;0,-Table3[[#This Row],[Open ML (Away)]]/(-Table3[[#This Row],[Open ML (Away)]]+100),100/(Table3[[#This Row],[Open ML (Away)]]+100))</f>
        <v>1</v>
      </c>
      <c r="M122" s="5">
        <f>IF(Table3[[#This Row],[Close ML (Away)]]&lt;0,-Table3[[#This Row],[Close ML (Away)]]/(-Table3[[#This Row],[Close ML (Away)]]+100),100/(Table3[[#This Row],[Close ML (Away)]]+100))</f>
        <v>1</v>
      </c>
    </row>
    <row r="123" spans="1:13" x14ac:dyDescent="0.25">
      <c r="A123">
        <v>17</v>
      </c>
      <c r="B123" t="s">
        <v>1</v>
      </c>
      <c r="C123" t="s">
        <v>15</v>
      </c>
      <c r="G123" s="2">
        <f>IF(Table3[[#This Row],[Open ML (Home)]]&lt;0,-Table3[[#This Row],[Open ML (Home)]]/(-Table3[[#This Row],[Open ML (Home)]]+100),100/(Table3[[#This Row],[Open ML (Home)]]+100))</f>
        <v>1</v>
      </c>
      <c r="I123" s="5">
        <f>IF(Table3[[#This Row],[Close ML (Home)]]&lt;0,-Table3[[#This Row],[Close ML (Home)]]/(-Table3[[#This Row],[Close ML (Home)]]+100),100/(Table3[[#This Row],[Close ML (Home)]]+100))</f>
        <v>1</v>
      </c>
      <c r="K123" s="5">
        <f>IF(Table3[[#This Row],[Open ML (Away)]]&lt;0,-Table3[[#This Row],[Open ML (Away)]]/(-Table3[[#This Row],[Open ML (Away)]]+100),100/(Table3[[#This Row],[Open ML (Away)]]+100))</f>
        <v>1</v>
      </c>
      <c r="M123" s="5">
        <f>IF(Table3[[#This Row],[Close ML (Away)]]&lt;0,-Table3[[#This Row],[Close ML (Away)]]/(-Table3[[#This Row],[Close ML (Away)]]+100),100/(Table3[[#This Row],[Close ML (Away)]]+100))</f>
        <v>1</v>
      </c>
    </row>
    <row r="124" spans="1:13" x14ac:dyDescent="0.25">
      <c r="A124">
        <v>17</v>
      </c>
      <c r="B124" t="s">
        <v>31</v>
      </c>
      <c r="C124" t="s">
        <v>21</v>
      </c>
      <c r="G124" s="2">
        <f>IF(Table3[[#This Row],[Open ML (Home)]]&lt;0,-Table3[[#This Row],[Open ML (Home)]]/(-Table3[[#This Row],[Open ML (Home)]]+100),100/(Table3[[#This Row],[Open ML (Home)]]+100))</f>
        <v>1</v>
      </c>
      <c r="I124" s="5">
        <f>IF(Table3[[#This Row],[Close ML (Home)]]&lt;0,-Table3[[#This Row],[Close ML (Home)]]/(-Table3[[#This Row],[Close ML (Home)]]+100),100/(Table3[[#This Row],[Close ML (Home)]]+100))</f>
        <v>1</v>
      </c>
      <c r="K124" s="5">
        <f>IF(Table3[[#This Row],[Open ML (Away)]]&lt;0,-Table3[[#This Row],[Open ML (Away)]]/(-Table3[[#This Row],[Open ML (Away)]]+100),100/(Table3[[#This Row],[Open ML (Away)]]+100))</f>
        <v>1</v>
      </c>
      <c r="M124" s="5">
        <f>IF(Table3[[#This Row],[Close ML (Away)]]&lt;0,-Table3[[#This Row],[Close ML (Away)]]/(-Table3[[#This Row],[Close ML (Away)]]+100),100/(Table3[[#This Row],[Close ML (Away)]]+100))</f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workbookViewId="0">
      <selection activeCell="P11" sqref="P11"/>
    </sheetView>
  </sheetViews>
  <sheetFormatPr defaultRowHeight="15" x14ac:dyDescent="0.25"/>
  <cols>
    <col min="1" max="1" width="8.28515625" customWidth="1"/>
    <col min="2" max="2" width="18.42578125" bestFit="1" customWidth="1"/>
    <col min="3" max="3" width="17.42578125" bestFit="1" customWidth="1"/>
    <col min="4" max="4" width="12.42578125" bestFit="1" customWidth="1"/>
    <col min="5" max="5" width="14.140625" bestFit="1" customWidth="1"/>
    <col min="6" max="6" width="9.28515625" customWidth="1"/>
    <col min="7" max="9" width="12.42578125" customWidth="1"/>
    <col min="10" max="10" width="11.42578125" customWidth="1"/>
    <col min="11" max="11" width="11" customWidth="1"/>
    <col min="12" max="12" width="8.7109375" bestFit="1" customWidth="1"/>
    <col min="13" max="13" width="13.7109375" customWidth="1"/>
    <col min="14" max="14" width="14.28515625" customWidth="1"/>
    <col min="15" max="15" width="14.85546875" customWidth="1"/>
    <col min="16" max="16" width="11" customWidth="1"/>
    <col min="17" max="17" width="10.28515625" customWidth="1"/>
  </cols>
  <sheetData>
    <row r="1" spans="1:18" x14ac:dyDescent="0.25">
      <c r="A1" t="s">
        <v>0</v>
      </c>
      <c r="B1" t="s">
        <v>39</v>
      </c>
      <c r="C1" t="s">
        <v>40</v>
      </c>
      <c r="D1" t="s">
        <v>34</v>
      </c>
      <c r="E1" t="s">
        <v>33</v>
      </c>
      <c r="F1" t="s">
        <v>46</v>
      </c>
      <c r="G1" t="s">
        <v>45</v>
      </c>
      <c r="H1" t="s">
        <v>47</v>
      </c>
      <c r="I1" t="s">
        <v>97</v>
      </c>
      <c r="J1" t="s">
        <v>42</v>
      </c>
      <c r="K1" t="s">
        <v>43</v>
      </c>
      <c r="L1" t="s">
        <v>60</v>
      </c>
      <c r="M1" t="s">
        <v>61</v>
      </c>
      <c r="N1" t="s">
        <v>87</v>
      </c>
      <c r="O1" t="s">
        <v>62</v>
      </c>
      <c r="P1" t="s">
        <v>63</v>
      </c>
      <c r="Q1" t="s">
        <v>64</v>
      </c>
      <c r="R1" t="s">
        <v>65</v>
      </c>
    </row>
    <row r="2" spans="1:18" x14ac:dyDescent="0.25">
      <c r="A2">
        <v>10</v>
      </c>
      <c r="B2" t="s">
        <v>5</v>
      </c>
      <c r="C2" t="s">
        <v>14</v>
      </c>
      <c r="D2">
        <v>28</v>
      </c>
      <c r="E2">
        <v>7</v>
      </c>
      <c r="F2">
        <f>Table4[[#This Row],[Away Pts]]-Table4[[#This Row],[Home Pts]]</f>
        <v>-21</v>
      </c>
      <c r="G2">
        <v>-8</v>
      </c>
      <c r="H2">
        <v>-11.37</v>
      </c>
      <c r="L2" t="s">
        <v>84</v>
      </c>
      <c r="M2" s="7">
        <v>-22</v>
      </c>
      <c r="N2" s="7">
        <v>20</v>
      </c>
      <c r="O2" s="7">
        <v>20</v>
      </c>
      <c r="P2">
        <v>0</v>
      </c>
      <c r="Q2">
        <v>1</v>
      </c>
      <c r="R2">
        <v>1</v>
      </c>
    </row>
    <row r="3" spans="1:18" x14ac:dyDescent="0.25">
      <c r="A3">
        <v>10</v>
      </c>
      <c r="B3" t="s">
        <v>13</v>
      </c>
      <c r="C3" t="s">
        <v>20</v>
      </c>
      <c r="D3">
        <v>24</v>
      </c>
      <c r="E3">
        <v>15</v>
      </c>
      <c r="F3">
        <f>Table4[[#This Row],[Away Pts]]-Table4[[#This Row],[Home Pts]]</f>
        <v>-9</v>
      </c>
      <c r="G3">
        <v>0</v>
      </c>
      <c r="H3">
        <v>-5.0999999999999996</v>
      </c>
      <c r="J3">
        <v>-110</v>
      </c>
      <c r="K3">
        <v>-110</v>
      </c>
      <c r="L3" t="s">
        <v>66</v>
      </c>
      <c r="M3" s="7">
        <v>-55</v>
      </c>
      <c r="N3" s="7">
        <v>50</v>
      </c>
      <c r="O3" s="7">
        <v>-55</v>
      </c>
      <c r="P3">
        <v>1</v>
      </c>
      <c r="Q3">
        <v>1</v>
      </c>
      <c r="R3">
        <v>0</v>
      </c>
    </row>
    <row r="4" spans="1:18" x14ac:dyDescent="0.25">
      <c r="A4">
        <v>10</v>
      </c>
      <c r="B4" t="s">
        <v>29</v>
      </c>
      <c r="C4" t="s">
        <v>26</v>
      </c>
      <c r="D4">
        <v>30</v>
      </c>
      <c r="E4">
        <v>35</v>
      </c>
      <c r="F4">
        <f>Table4[[#This Row],[Away Pts]]-Table4[[#This Row],[Home Pts]]</f>
        <v>5</v>
      </c>
      <c r="G4">
        <v>-2.5</v>
      </c>
      <c r="H4">
        <v>-2.5</v>
      </c>
      <c r="J4">
        <v>-140</v>
      </c>
      <c r="K4">
        <v>110</v>
      </c>
      <c r="L4" t="s">
        <v>67</v>
      </c>
      <c r="M4" s="7">
        <v>-50</v>
      </c>
      <c r="N4" s="7">
        <v>55</v>
      </c>
      <c r="O4" s="7">
        <v>55</v>
      </c>
      <c r="P4">
        <v>1</v>
      </c>
      <c r="Q4">
        <v>0</v>
      </c>
      <c r="R4">
        <v>1</v>
      </c>
    </row>
    <row r="5" spans="1:18" x14ac:dyDescent="0.25">
      <c r="A5">
        <v>10</v>
      </c>
      <c r="B5" t="s">
        <v>68</v>
      </c>
      <c r="C5" t="s">
        <v>7</v>
      </c>
      <c r="D5">
        <v>21</v>
      </c>
      <c r="E5">
        <v>20</v>
      </c>
      <c r="F5">
        <f>Table4[[#This Row],[Away Pts]]-Table4[[#This Row],[Home Pts]]</f>
        <v>-1</v>
      </c>
      <c r="G5">
        <v>-1.5</v>
      </c>
      <c r="H5">
        <v>-4.9800000000000004</v>
      </c>
      <c r="J5">
        <v>100</v>
      </c>
      <c r="K5">
        <v>-130</v>
      </c>
      <c r="L5" t="s">
        <v>69</v>
      </c>
      <c r="M5" s="7">
        <v>-20</v>
      </c>
      <c r="N5" s="7">
        <v>20</v>
      </c>
      <c r="O5" s="7">
        <v>20</v>
      </c>
      <c r="P5">
        <v>1</v>
      </c>
      <c r="Q5">
        <v>0</v>
      </c>
      <c r="R5">
        <v>1</v>
      </c>
    </row>
    <row r="6" spans="1:18" x14ac:dyDescent="0.25">
      <c r="A6">
        <v>10</v>
      </c>
      <c r="B6" t="s">
        <v>68</v>
      </c>
      <c r="C6" t="s">
        <v>7</v>
      </c>
      <c r="D6">
        <v>21</v>
      </c>
      <c r="E6">
        <v>20</v>
      </c>
      <c r="F6">
        <f>Table4[[#This Row],[Away Pts]]-Table4[[#This Row],[Home Pts]]</f>
        <v>-1</v>
      </c>
      <c r="G6">
        <v>-1.5</v>
      </c>
      <c r="H6">
        <v>-4.9800000000000004</v>
      </c>
      <c r="J6">
        <v>100</v>
      </c>
      <c r="K6">
        <v>-130</v>
      </c>
      <c r="L6" t="s">
        <v>89</v>
      </c>
      <c r="M6" s="7">
        <v>-22</v>
      </c>
      <c r="N6" s="7">
        <v>20</v>
      </c>
      <c r="O6" s="7">
        <v>20</v>
      </c>
      <c r="P6">
        <v>0</v>
      </c>
      <c r="Q6">
        <v>1</v>
      </c>
      <c r="R6">
        <v>1</v>
      </c>
    </row>
    <row r="7" spans="1:18" x14ac:dyDescent="0.25">
      <c r="A7">
        <v>10</v>
      </c>
      <c r="B7" t="s">
        <v>29</v>
      </c>
      <c r="C7" t="s">
        <v>26</v>
      </c>
      <c r="D7">
        <v>30</v>
      </c>
      <c r="E7">
        <v>35</v>
      </c>
      <c r="F7">
        <f>Table4[[#This Row],[Away Pts]]-Table4[[#This Row],[Home Pts]]</f>
        <v>5</v>
      </c>
      <c r="G7">
        <v>-2.5</v>
      </c>
      <c r="H7">
        <v>-2.5</v>
      </c>
      <c r="J7">
        <v>-140</v>
      </c>
      <c r="K7">
        <v>110</v>
      </c>
      <c r="L7" t="s">
        <v>81</v>
      </c>
      <c r="M7" s="7">
        <v>-55</v>
      </c>
      <c r="N7" s="7">
        <v>50</v>
      </c>
      <c r="O7" s="7">
        <v>50</v>
      </c>
      <c r="P7">
        <v>0</v>
      </c>
      <c r="Q7">
        <v>1</v>
      </c>
      <c r="R7">
        <v>1</v>
      </c>
    </row>
    <row r="8" spans="1:18" x14ac:dyDescent="0.25">
      <c r="A8">
        <v>10</v>
      </c>
      <c r="B8" t="s">
        <v>2</v>
      </c>
      <c r="C8" t="s">
        <v>82</v>
      </c>
      <c r="D8">
        <v>17</v>
      </c>
      <c r="E8">
        <v>20</v>
      </c>
      <c r="F8">
        <f>Table4[[#This Row],[Away Pts]]-Table4[[#This Row],[Home Pts]]</f>
        <v>3</v>
      </c>
      <c r="G8">
        <v>-3.5</v>
      </c>
      <c r="H8">
        <v>1.04</v>
      </c>
      <c r="J8">
        <v>-175</v>
      </c>
      <c r="K8">
        <v>145</v>
      </c>
      <c r="L8" t="s">
        <v>83</v>
      </c>
      <c r="M8" s="7">
        <v>-22</v>
      </c>
      <c r="N8" s="7">
        <v>20</v>
      </c>
      <c r="O8" s="7">
        <v>20</v>
      </c>
      <c r="P8">
        <v>0</v>
      </c>
      <c r="Q8">
        <v>1</v>
      </c>
      <c r="R8">
        <v>1</v>
      </c>
    </row>
    <row r="9" spans="1:18" x14ac:dyDescent="0.25">
      <c r="A9">
        <v>11</v>
      </c>
      <c r="B9" t="s">
        <v>15</v>
      </c>
      <c r="C9" t="s">
        <v>9</v>
      </c>
      <c r="F9" s="4">
        <f>Table4[[#This Row],[Away Pts]]-Table4[[#This Row],[Home Pts]]</f>
        <v>0</v>
      </c>
      <c r="G9">
        <v>-5</v>
      </c>
      <c r="H9">
        <v>-10.01</v>
      </c>
      <c r="I9">
        <v>-5.42</v>
      </c>
      <c r="L9" t="s">
        <v>86</v>
      </c>
      <c r="M9" s="7">
        <v>-25</v>
      </c>
      <c r="N9" s="7">
        <v>22.73</v>
      </c>
      <c r="O9" s="7"/>
      <c r="P9">
        <v>0</v>
      </c>
      <c r="Q9">
        <v>1</v>
      </c>
    </row>
    <row r="10" spans="1:18" x14ac:dyDescent="0.25">
      <c r="A10">
        <v>11</v>
      </c>
      <c r="B10" t="s">
        <v>26</v>
      </c>
      <c r="C10" t="s">
        <v>5</v>
      </c>
      <c r="F10" s="4">
        <f>Table4[[#This Row],[Away Pts]]-Table4[[#This Row],[Home Pts]]</f>
        <v>0</v>
      </c>
      <c r="G10">
        <v>-7</v>
      </c>
      <c r="H10">
        <v>-11.31</v>
      </c>
      <c r="I10">
        <v>-8.4</v>
      </c>
      <c r="L10" t="s">
        <v>98</v>
      </c>
      <c r="M10" s="7">
        <v>20</v>
      </c>
      <c r="N10" s="7">
        <v>18.18</v>
      </c>
      <c r="O10" s="7"/>
      <c r="P10">
        <v>0</v>
      </c>
      <c r="Q10">
        <v>1</v>
      </c>
    </row>
    <row r="11" spans="1:18" x14ac:dyDescent="0.25">
      <c r="A11">
        <v>11</v>
      </c>
      <c r="B11" t="s">
        <v>32</v>
      </c>
      <c r="C11" t="s">
        <v>22</v>
      </c>
      <c r="F11" s="4">
        <f>Table4[[#This Row],[Away Pts]]-Table4[[#This Row],[Home Pts]]</f>
        <v>0</v>
      </c>
      <c r="G11">
        <v>0</v>
      </c>
      <c r="H11">
        <v>1.39</v>
      </c>
      <c r="I11">
        <v>1.38</v>
      </c>
      <c r="L11" t="s">
        <v>88</v>
      </c>
      <c r="M11" s="7">
        <v>-25</v>
      </c>
      <c r="N11" s="7">
        <v>25</v>
      </c>
      <c r="O11" s="7"/>
      <c r="P11">
        <v>1</v>
      </c>
      <c r="Q11">
        <v>1</v>
      </c>
    </row>
    <row r="12" spans="1:18" x14ac:dyDescent="0.25">
      <c r="A12" t="s">
        <v>41</v>
      </c>
      <c r="M12" s="4"/>
      <c r="N12" s="8"/>
      <c r="O12" s="8">
        <f>SUBTOTAL(109,Table4[Won Amount])</f>
        <v>130</v>
      </c>
      <c r="R12">
        <f>SUBTOTAL(109,Table4[Win?])</f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Boxscores</vt:lpstr>
      <vt:lpstr>Divisions</vt:lpstr>
      <vt:lpstr>Team Stats</vt:lpstr>
      <vt:lpstr>Rankings</vt:lpstr>
      <vt:lpstr>Lines</vt:lpstr>
      <vt:lpstr>Bets</vt:lpstr>
      <vt:lpstr>avg_lookup</vt:lpstr>
      <vt:lpstr>def_diff_lookup</vt:lpstr>
      <vt:lpstr>division_lookup</vt:lpstr>
      <vt:lpstr>home</vt:lpstr>
      <vt:lpstr>home_lookup</vt:lpstr>
      <vt:lpstr>lookup</vt:lpstr>
      <vt:lpstr>lookup_max</vt:lpstr>
      <vt:lpstr>off_pts_lookup</vt:lpstr>
      <vt:lpstr>pace_lookup</vt:lpstr>
      <vt:lpstr>stats_lookup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2016-11-05T19:46:03Z</dcterms:created>
  <dcterms:modified xsi:type="dcterms:W3CDTF">2016-11-21T11:40:28Z</dcterms:modified>
</cp:coreProperties>
</file>